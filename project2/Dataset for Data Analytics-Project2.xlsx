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aa\Downloads\Dacode Labs\"/>
    </mc:Choice>
  </mc:AlternateContent>
  <xr:revisionPtr revIDLastSave="0" documentId="13_ncr:1_{EC5DA2EE-3C51-4D72-BA5B-3DEF57CAAF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Sheet1!$B$1:$B$1201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4" i="1"/>
  <c r="Q6" i="1"/>
</calcChain>
</file>

<file path=xl/sharedStrings.xml><?xml version="1.0" encoding="utf-8"?>
<sst xmlns="http://schemas.openxmlformats.org/spreadsheetml/2006/main" count="10838" uniqueCount="4301">
  <si>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</si>
  <si>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</si>
  <si>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</si>
  <si>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</si>
  <si>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</si>
  <si>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</si>
  <si>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</si>
  <si>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</si>
  <si>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</si>
  <si>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</si>
  <si>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</si>
  <si>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</si>
  <si>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</si>
  <si>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</si>
  <si>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</si>
  <si>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</si>
  <si>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</si>
  <si>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</si>
  <si>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</si>
  <si>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</si>
  <si>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</si>
  <si>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</si>
  <si>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</si>
  <si>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</si>
  <si>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</si>
  <si>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</si>
  <si>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</si>
  <si>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</si>
  <si>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</si>
  <si>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</si>
  <si>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</si>
  <si>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</si>
  <si>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</si>
  <si>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</si>
  <si>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</si>
  <si>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</si>
  <si>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</si>
  <si>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</si>
  <si>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</si>
  <si>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</si>
  <si>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</si>
  <si>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</si>
  <si>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</si>
  <si>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</si>
  <si>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</si>
  <si>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</si>
  <si>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</si>
  <si>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</si>
  <si>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</si>
  <si>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</si>
  <si>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</si>
  <si>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</si>
  <si>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</si>
  <si>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</si>
  <si>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</si>
  <si>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</si>
  <si>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</si>
  <si>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</si>
  <si>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</si>
  <si>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</si>
  <si>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</si>
  <si>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</si>
  <si>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</si>
  <si>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</si>
  <si>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</si>
  <si>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</si>
  <si>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</si>
  <si>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</si>
  <si>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</si>
  <si>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</si>
  <si>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</si>
  <si>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</si>
  <si>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</si>
  <si>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</si>
  <si>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</si>
  <si>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</si>
  <si>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</si>
  <si>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</si>
  <si>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</si>
  <si>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</si>
  <si>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</si>
  <si>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</si>
  <si>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</si>
  <si>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</si>
  <si>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</si>
  <si>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</si>
  <si>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</si>
  <si>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</si>
  <si>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</si>
  <si>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</si>
  <si>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</si>
  <si>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</si>
  <si>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</si>
  <si>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</si>
  <si>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</si>
  <si>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</si>
  <si>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</si>
  <si>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</si>
  <si>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</si>
  <si>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</si>
  <si>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</si>
  <si>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</si>
  <si>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</si>
  <si>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</si>
  <si>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</si>
  <si>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</si>
  <si>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</si>
  <si>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</si>
  <si>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</si>
  <si>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</si>
  <si>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</si>
  <si>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</si>
  <si>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</si>
  <si>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</si>
  <si>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</si>
  <si>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</si>
  <si>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</si>
  <si>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</si>
  <si>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</si>
  <si>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</si>
  <si>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</si>
  <si>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</si>
  <si>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</si>
  <si>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</si>
  <si>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</si>
  <si>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</si>
  <si>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</si>
  <si>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</si>
  <si>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</si>
  <si>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</si>
  <si>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</si>
  <si>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</si>
  <si>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</si>
  <si>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</si>
  <si>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</si>
  <si>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</si>
  <si>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</si>
  <si>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</si>
  <si>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</si>
  <si>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</si>
  <si>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</si>
  <si>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</si>
  <si>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</si>
  <si>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</si>
  <si>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</si>
  <si>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</si>
  <si>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</si>
  <si>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</si>
  <si>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</si>
  <si>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</si>
  <si>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</si>
  <si>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</si>
  <si>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</si>
  <si>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</si>
  <si>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</si>
  <si>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</si>
  <si>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</si>
  <si>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</si>
  <si>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</si>
  <si>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</si>
  <si>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</si>
  <si>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</si>
  <si>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</si>
  <si>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</si>
  <si>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</si>
  <si>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</si>
  <si>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</si>
  <si>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</si>
  <si>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</si>
  <si>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</si>
  <si>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</si>
  <si>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</si>
  <si>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</si>
  <si>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</si>
  <si>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</si>
  <si>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</si>
  <si>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</si>
  <si>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</si>
  <si>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</si>
  <si>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</si>
  <si>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</si>
  <si>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</si>
  <si>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</si>
  <si>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</si>
  <si>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</si>
  <si>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</si>
  <si>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</si>
  <si>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</si>
  <si>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</si>
  <si>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</si>
  <si>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</si>
  <si>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</si>
  <si>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</si>
  <si>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</si>
  <si>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</si>
  <si>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</si>
  <si>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</si>
  <si>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</si>
  <si>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</si>
  <si>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</si>
  <si>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</si>
  <si>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</si>
  <si>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</si>
  <si>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</si>
  <si>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</si>
  <si>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</si>
  <si>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</si>
  <si>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</si>
  <si>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</si>
  <si>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</si>
  <si>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</si>
  <si>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</si>
  <si>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</si>
  <si>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</si>
  <si>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</si>
  <si>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</si>
  <si>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</si>
  <si>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</si>
  <si>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</si>
  <si>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</si>
  <si>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</si>
  <si>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</si>
  <si>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</si>
  <si>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</si>
  <si>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</si>
  <si>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</si>
  <si>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</si>
  <si>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</si>
  <si>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</si>
  <si>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</si>
  <si>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</si>
  <si>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</si>
  <si>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</si>
  <si>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</si>
  <si>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</si>
  <si>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</si>
  <si>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</si>
  <si>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</si>
  <si>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</si>
  <si>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</si>
  <si>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</si>
  <si>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</si>
  <si>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</si>
  <si>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</si>
  <si>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</si>
  <si>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</si>
  <si>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</si>
  <si>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</si>
  <si>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</si>
  <si>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</si>
  <si>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</si>
  <si>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</si>
  <si>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</si>
  <si>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</si>
  <si>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</si>
  <si>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</si>
  <si>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</si>
  <si>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</si>
  <si>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</si>
  <si>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</si>
  <si>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</si>
  <si>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</si>
  <si>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</si>
  <si>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</si>
  <si>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</si>
  <si>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</si>
  <si>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</si>
  <si>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</si>
  <si>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</si>
  <si>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</si>
  <si>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</si>
  <si>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</si>
  <si>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</si>
  <si>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</si>
  <si>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</si>
  <si>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</si>
  <si>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</si>
  <si>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</si>
  <si>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</si>
  <si>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</si>
  <si>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</si>
  <si>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</si>
  <si>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</si>
  <si>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</si>
  <si>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</si>
  <si>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</si>
  <si>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</si>
  <si>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</si>
  <si>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</si>
  <si>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</si>
  <si>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</si>
  <si>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</si>
  <si>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</si>
  <si>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</si>
  <si>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</si>
  <si>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</si>
  <si>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</si>
  <si>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</si>
  <si>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</si>
  <si>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</si>
  <si>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</si>
  <si>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</si>
  <si>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</si>
  <si>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</si>
  <si>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</si>
  <si>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</si>
  <si>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</si>
  <si>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</si>
  <si>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</si>
  <si>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</si>
  <si>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</si>
  <si>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</si>
  <si>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</si>
  <si>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</si>
  <si>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</si>
  <si>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</si>
  <si>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</si>
  <si>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</si>
  <si>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</si>
  <si>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</si>
  <si>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</si>
  <si>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</si>
  <si>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</si>
  <si>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</si>
  <si>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</si>
  <si>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</si>
  <si>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</si>
  <si>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</si>
  <si>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</si>
  <si>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</si>
  <si>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</si>
  <si>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</si>
  <si>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</si>
  <si>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</si>
  <si>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</si>
  <si>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</si>
  <si>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</si>
  <si>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</si>
  <si>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</si>
  <si>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</si>
  <si>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</si>
  <si>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</si>
  <si>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</si>
  <si>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</si>
  <si>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</si>
  <si>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</si>
  <si>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</si>
  <si>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</si>
  <si>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</si>
  <si>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</si>
  <si>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</si>
  <si>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</si>
  <si>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</si>
  <si>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</si>
  <si>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</si>
  <si>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</si>
  <si>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</si>
  <si>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</si>
  <si>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</si>
  <si>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</si>
  <si>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</si>
  <si>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</si>
  <si>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</si>
  <si>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</si>
  <si>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</si>
  <si>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</si>
  <si>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</si>
  <si>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</si>
  <si>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</si>
  <si>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</si>
  <si>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</si>
  <si>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</si>
  <si>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</si>
  <si>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</si>
  <si>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</si>
  <si>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</si>
  <si>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</si>
  <si>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</si>
  <si>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</si>
  <si>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</si>
  <si>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</si>
  <si>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</si>
  <si>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</si>
  <si>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</si>
  <si>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</si>
  <si>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</si>
  <si>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</si>
  <si>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</si>
  <si>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</si>
  <si>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</si>
  <si>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</si>
  <si>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</si>
  <si>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</si>
  <si>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</si>
  <si>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</si>
  <si>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</si>
  <si>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</si>
  <si>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</si>
  <si>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</si>
  <si>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</si>
  <si>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</si>
  <si>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</si>
  <si>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</si>
  <si>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</si>
  <si>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</si>
  <si>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</si>
  <si>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</si>
  <si>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</si>
  <si>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</si>
  <si>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</si>
  <si>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</si>
  <si>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</si>
  <si>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</si>
  <si>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</si>
  <si>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</si>
  <si>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</si>
  <si>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</si>
  <si>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</si>
  <si>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</si>
  <si>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</si>
  <si>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</si>
  <si>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</si>
  <si>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</si>
  <si>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</si>
  <si>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</si>
  <si>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</si>
  <si>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</si>
  <si>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</si>
  <si>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</si>
  <si>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</si>
  <si>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</si>
  <si>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</si>
  <si>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</si>
  <si>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</si>
  <si>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</si>
  <si>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</si>
  <si>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</si>
  <si>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</si>
  <si>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</si>
  <si>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</si>
  <si>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</si>
  <si>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</si>
  <si>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</si>
  <si>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</si>
  <si>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</si>
  <si>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</si>
  <si>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</si>
  <si>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</si>
  <si>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</si>
  <si>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</si>
  <si>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</si>
  <si>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</si>
  <si>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</si>
  <si>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</si>
  <si>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</si>
  <si>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</si>
  <si>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</si>
  <si>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</si>
  <si>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</si>
  <si>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</si>
  <si>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</si>
  <si>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</si>
  <si>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</si>
  <si>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</si>
  <si>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</si>
  <si>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</si>
  <si>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</si>
  <si>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</si>
  <si>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</si>
  <si>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</si>
  <si>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</si>
  <si>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</si>
  <si>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</si>
  <si>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</si>
  <si>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</si>
  <si>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</si>
  <si>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</si>
  <si>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</si>
  <si>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</si>
  <si>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</si>
  <si>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</si>
  <si>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</si>
  <si>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</si>
  <si>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</si>
  <si>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</si>
  <si>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</si>
  <si>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</si>
  <si>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</si>
  <si>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</si>
  <si>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</si>
  <si>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</si>
  <si>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</si>
  <si>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</si>
  <si>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</si>
  <si>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</si>
  <si>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</si>
  <si>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</si>
  <si>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</si>
  <si>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</si>
  <si>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</si>
  <si>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</si>
  <si>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</si>
  <si>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</si>
  <si>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</si>
  <si>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</si>
  <si>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</si>
  <si>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</si>
  <si>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</si>
  <si>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</si>
  <si>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</si>
  <si>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</si>
  <si>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</si>
  <si>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</si>
  <si>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</si>
  <si>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</si>
  <si>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</si>
  <si>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</si>
  <si>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</si>
  <si>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</si>
  <si>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</si>
  <si>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</si>
  <si>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</si>
  <si>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</si>
  <si>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</si>
  <si>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</si>
  <si>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</si>
  <si>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</si>
  <si>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</si>
  <si>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</si>
  <si>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</si>
  <si>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</si>
  <si>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</si>
  <si>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</si>
  <si>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</si>
  <si>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</si>
  <si>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</si>
  <si>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</si>
  <si>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</si>
  <si>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</si>
  <si>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</si>
  <si>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</si>
  <si>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</si>
  <si>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</si>
  <si>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</si>
  <si>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</si>
  <si>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</si>
  <si>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</si>
  <si>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</si>
  <si>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</si>
  <si>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</si>
  <si>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</si>
  <si>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</si>
  <si>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</si>
  <si>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</si>
  <si>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</si>
  <si>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</si>
  <si>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</si>
  <si>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</si>
  <si>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</si>
  <si>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</si>
  <si>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</si>
  <si>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</si>
  <si>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</si>
  <si>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</si>
  <si>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</si>
  <si>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</si>
  <si>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</si>
  <si>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</si>
  <si>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</si>
  <si>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</si>
  <si>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</si>
  <si>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</si>
  <si>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</si>
  <si>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</si>
  <si>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</si>
  <si>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</si>
  <si>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</si>
  <si>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</si>
  <si>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</si>
  <si>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</si>
  <si>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</si>
  <si>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</si>
  <si>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</si>
  <si>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</si>
  <si>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</si>
  <si>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</si>
  <si>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</si>
  <si>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</si>
  <si>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</si>
  <si>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</si>
  <si>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</si>
  <si>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</si>
  <si>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</si>
  <si>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</si>
  <si>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</si>
  <si>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</si>
  <si>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</si>
  <si>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</si>
  <si>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</si>
  <si>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</si>
  <si>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</si>
  <si>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</si>
  <si>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</si>
  <si>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</si>
  <si>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</si>
  <si>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</si>
  <si>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</si>
  <si>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</si>
  <si>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</si>
  <si>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</si>
  <si>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</si>
  <si>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</si>
  <si>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</si>
  <si>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</si>
  <si>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</si>
  <si>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</si>
  <si>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</si>
  <si>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</si>
  <si>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</si>
  <si>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</si>
  <si>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</si>
  <si>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</si>
  <si>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</si>
  <si>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</si>
  <si>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</si>
  <si>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</si>
  <si>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</si>
  <si>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</si>
  <si>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</si>
  <si>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</si>
  <si>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</si>
  <si>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</si>
  <si>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</si>
  <si>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</si>
  <si>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</si>
  <si>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</si>
  <si>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</si>
  <si>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</si>
  <si>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</si>
  <si>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</si>
  <si>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</si>
  <si>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</si>
  <si>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</si>
  <si>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</si>
  <si>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</si>
  <si>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</si>
  <si>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</si>
  <si>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</si>
  <si>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</si>
  <si>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</si>
  <si>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</si>
  <si>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</si>
  <si>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</si>
  <si>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</si>
  <si>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</si>
  <si>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</si>
  <si>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</si>
  <si>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</si>
  <si>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</si>
  <si>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</si>
  <si>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</si>
  <si>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</si>
  <si>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</si>
  <si>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</si>
  <si>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</si>
  <si>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</si>
  <si>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</si>
  <si>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</si>
  <si>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</si>
  <si>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</si>
  <si>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</si>
  <si>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</si>
  <si>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</si>
  <si>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</si>
  <si>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</si>
  <si>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</si>
  <si>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</si>
  <si>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</si>
  <si>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</si>
  <si>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</si>
  <si>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</si>
  <si>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</si>
  <si>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</si>
  <si>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</si>
  <si>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</si>
  <si>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</si>
  <si>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</si>
  <si>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</si>
  <si>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</si>
  <si>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</si>
  <si>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</si>
  <si>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</si>
  <si>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</si>
  <si>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</si>
  <si>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</si>
  <si>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</si>
  <si>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</si>
  <si>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</si>
  <si>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</si>
  <si>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</si>
  <si>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</si>
  <si>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</si>
  <si>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</si>
  <si>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</si>
  <si>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</si>
  <si>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</si>
  <si>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</si>
  <si>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</si>
  <si>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</si>
  <si>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</si>
  <si>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</si>
  <si>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</si>
  <si>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</si>
  <si>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</si>
  <si>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</si>
  <si>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</si>
  <si>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</si>
  <si>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</si>
  <si>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</si>
  <si>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</si>
  <si>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</si>
  <si>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</si>
  <si>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</si>
  <si>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</si>
  <si>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</si>
  <si>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</si>
  <si>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</si>
  <si>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</si>
  <si>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</si>
  <si>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</si>
  <si>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</si>
  <si>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</si>
  <si>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</si>
  <si>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</si>
  <si>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</si>
  <si>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</si>
  <si>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</si>
  <si>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</si>
  <si>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</si>
  <si>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</si>
  <si>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</si>
  <si>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</si>
  <si>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</si>
  <si>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</si>
  <si>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</si>
  <si>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</si>
  <si>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</si>
  <si>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</si>
  <si>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</si>
  <si>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</si>
  <si>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</si>
  <si>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</si>
  <si>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</si>
  <si>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</si>
  <si>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</si>
  <si>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</si>
  <si>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</si>
  <si>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</si>
  <si>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</si>
  <si>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</si>
  <si>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</si>
  <si>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</si>
  <si>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</si>
  <si>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</si>
  <si>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</si>
  <si>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</si>
  <si>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</si>
  <si>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</si>
  <si>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</si>
  <si>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</si>
  <si>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</si>
  <si>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</si>
  <si>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</si>
  <si>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</si>
  <si>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</si>
  <si>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</si>
  <si>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</si>
  <si>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</si>
  <si>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</si>
  <si>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</si>
  <si>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</si>
  <si>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</si>
  <si>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</si>
  <si>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</si>
  <si>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</si>
  <si>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</si>
  <si>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</si>
  <si>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</si>
  <si>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</si>
  <si>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</si>
  <si>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</si>
  <si>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</si>
  <si>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</si>
  <si>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</si>
  <si>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</si>
  <si>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</si>
  <si>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</si>
  <si>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</si>
  <si>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</si>
  <si>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</si>
  <si>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</si>
  <si>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</si>
  <si>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</si>
  <si>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</si>
  <si>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</si>
  <si>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</si>
  <si>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</si>
  <si>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</si>
  <si>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</si>
  <si>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</si>
  <si>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</si>
  <si>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</si>
  <si>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</si>
  <si>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</si>
  <si>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</si>
  <si>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</si>
  <si>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</si>
  <si>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</si>
  <si>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</si>
  <si>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</si>
  <si>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</si>
  <si>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</si>
  <si>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</si>
  <si>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</si>
  <si>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</si>
  <si>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</si>
  <si>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</si>
  <si>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</si>
  <si>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</si>
  <si>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</si>
  <si>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</si>
  <si>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</si>
  <si>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</si>
  <si>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</si>
  <si>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</si>
  <si>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</si>
  <si>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</si>
  <si>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</si>
  <si>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</si>
  <si>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</si>
  <si>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</si>
  <si>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</si>
  <si>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</si>
  <si>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</si>
  <si>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</si>
  <si>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</si>
  <si>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</si>
  <si>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</si>
  <si>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</si>
  <si>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</si>
  <si>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</si>
  <si>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</si>
  <si>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</si>
  <si>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</si>
  <si>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</si>
  <si>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</si>
  <si>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</si>
  <si>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</si>
  <si>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</si>
  <si>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</si>
  <si>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</si>
  <si>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</si>
  <si>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</si>
  <si>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</si>
  <si>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</si>
  <si>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</si>
  <si>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</si>
  <si>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</si>
  <si>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</si>
  <si>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</si>
  <si>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</si>
  <si>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</si>
  <si>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</si>
  <si>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</si>
  <si>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</si>
  <si>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</si>
  <si>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</si>
  <si>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</si>
  <si>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</si>
  <si>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</si>
  <si>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</si>
  <si>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</si>
  <si>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</si>
  <si>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</si>
  <si>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</si>
  <si>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</si>
  <si>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</si>
  <si>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</si>
  <si>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</si>
  <si>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</si>
  <si>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</si>
  <si>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</si>
  <si>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</si>
  <si>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</si>
  <si>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</si>
  <si>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</si>
  <si>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</si>
  <si>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</si>
  <si>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</si>
  <si>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</si>
  <si>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</si>
  <si>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</si>
  <si>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</si>
  <si>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</si>
  <si>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</si>
  <si>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</si>
  <si>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</si>
  <si>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</si>
  <si>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</si>
  <si>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</si>
  <si>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</si>
  <si>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</si>
  <si>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</si>
  <si>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</si>
  <si>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</si>
  <si>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</si>
  <si>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</si>
  <si>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</si>
  <si>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</si>
  <si>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</si>
  <si>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</si>
  <si>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</si>
  <si>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</si>
  <si>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</si>
  <si>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</si>
  <si>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</si>
  <si>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</si>
  <si>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</si>
  <si>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</si>
  <si>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</si>
  <si>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</si>
  <si>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</si>
  <si>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</si>
  <si>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</si>
  <si>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</si>
  <si>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</si>
  <si>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</si>
  <si>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</si>
  <si>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</si>
  <si>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</si>
  <si>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</si>
  <si>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</si>
  <si>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</si>
  <si>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</si>
  <si>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</si>
  <si>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</si>
  <si>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</si>
  <si>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</si>
  <si>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</si>
  <si>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</si>
  <si>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</si>
  <si>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</si>
  <si>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</si>
  <si>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</si>
  <si>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</si>
  <si>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</si>
  <si>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</si>
  <si>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</si>
  <si>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</si>
  <si>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</si>
  <si>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</si>
  <si>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</si>
  <si>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</si>
  <si>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</si>
  <si>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</si>
  <si>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</si>
  <si>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</si>
  <si>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</si>
  <si>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</si>
  <si>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</si>
  <si>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</si>
  <si>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</si>
  <si>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</si>
  <si>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</si>
  <si>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</si>
  <si>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</si>
  <si>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</si>
  <si>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</si>
  <si>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</si>
  <si>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</si>
  <si>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</si>
  <si>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</si>
  <si>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</si>
  <si>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</si>
  <si>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</si>
  <si>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</si>
  <si>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</si>
  <si>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</si>
  <si>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</si>
  <si>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</si>
  <si>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</si>
  <si>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</si>
  <si>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</si>
  <si>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</si>
  <si>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</si>
  <si>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</si>
  <si>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</si>
  <si>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</si>
  <si>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</si>
  <si>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</si>
  <si>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</si>
  <si>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</si>
  <si>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</si>
  <si>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</si>
  <si>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</si>
  <si>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</si>
  <si>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</si>
  <si>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</si>
  <si>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</si>
  <si>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</si>
  <si>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</si>
  <si>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</si>
  <si>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</si>
  <si>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</si>
  <si>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</si>
  <si>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</si>
  <si>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</si>
  <si>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</si>
  <si>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</si>
  <si>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</si>
  <si>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</si>
  <si>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</si>
  <si>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</si>
  <si>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</si>
  <si>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</si>
  <si>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</si>
  <si>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</si>
  <si>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</si>
  <si>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</si>
  <si>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</si>
  <si>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</si>
  <si>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</si>
  <si>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</si>
  <si>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</si>
  <si>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</si>
  <si>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</si>
  <si>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</si>
  <si>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</si>
  <si>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</si>
  <si>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</si>
  <si>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</si>
  <si>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</si>
  <si>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</si>
  <si>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</si>
  <si>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</si>
  <si>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</si>
  <si>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</si>
  <si>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</si>
  <si>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</si>
  <si>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</si>
  <si>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</si>
  <si>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</si>
  <si>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</si>
  <si>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</si>
  <si>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</si>
  <si>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</si>
  <si>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</si>
  <si>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</si>
  <si>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</si>
  <si>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</si>
  <si>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</si>
  <si>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</si>
  <si>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</si>
  <si>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</si>
  <si>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</si>
  <si>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</si>
  <si>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</si>
  <si>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</si>
  <si>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</si>
  <si>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</si>
  <si>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</si>
  <si>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</si>
  <si>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</si>
  <si>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</si>
  <si>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</si>
  <si>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</si>
  <si>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</si>
  <si>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</si>
  <si>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</si>
  <si>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</si>
  <si>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</si>
  <si>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</si>
  <si>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</si>
  <si>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</si>
  <si>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</si>
  <si>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</si>
  <si>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</si>
  <si>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</si>
  <si>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</si>
  <si>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</si>
  <si>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</si>
  <si>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</si>
  <si>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</si>
  <si>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</si>
  <si>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</si>
  <si>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</si>
  <si>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</si>
  <si>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</si>
  <si>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</si>
  <si>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</si>
  <si>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</si>
  <si>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</si>
  <si>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</si>
  <si>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</si>
  <si>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</si>
  <si>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</si>
  <si>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</si>
  <si>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</si>
  <si>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</si>
  <si>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</si>
  <si>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</si>
  <si>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</si>
  <si>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</si>
  <si>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</si>
  <si>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</si>
  <si>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</si>
  <si>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</si>
  <si>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</si>
  <si>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</si>
  <si>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</si>
  <si>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</si>
  <si>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</si>
  <si>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</si>
  <si>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</si>
  <si>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</si>
  <si>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</si>
  <si>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</si>
  <si>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</si>
  <si>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</si>
  <si>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</si>
  <si>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</si>
  <si>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</si>
  <si>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</si>
  <si>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</si>
  <si>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</si>
  <si>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</si>
  <si>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</si>
  <si>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</si>
  <si>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</si>
  <si>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</si>
  <si>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</si>
  <si>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</si>
  <si>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</si>
  <si>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</si>
  <si>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</si>
  <si>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</si>
  <si>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</si>
  <si>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</si>
  <si>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</si>
  <si>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</si>
  <si>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</si>
  <si>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</si>
  <si>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</si>
  <si>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</si>
  <si>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</si>
  <si>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</si>
  <si>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</si>
  <si>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</si>
  <si>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</si>
  <si>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</si>
  <si>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</si>
  <si>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</si>
  <si>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</si>
  <si>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</si>
  <si>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</si>
  <si>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</si>
  <si>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</si>
  <si>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</si>
  <si>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</si>
  <si>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</si>
  <si>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</si>
  <si>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</si>
  <si>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</si>
  <si>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</si>
  <si>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</si>
  <si>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</si>
  <si>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</si>
  <si>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</si>
  <si>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</si>
  <si>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</si>
  <si>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</si>
  <si>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</si>
  <si>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</si>
  <si>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</si>
  <si>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</si>
  <si>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</si>
  <si>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</si>
  <si>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</si>
  <si>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</si>
  <si>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</si>
  <si>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</si>
  <si>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</si>
  <si>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</si>
  <si>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</si>
  <si>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</si>
  <si>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</si>
  <si>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</si>
  <si>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</si>
  <si>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</si>
  <si>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</si>
  <si>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</si>
  <si>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</si>
  <si>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</si>
  <si>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</si>
  <si>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</si>
  <si>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</si>
  <si>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</si>
  <si>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</si>
  <si>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</si>
  <si>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</si>
  <si>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</si>
  <si>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</si>
  <si>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</si>
  <si>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</si>
  <si>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</si>
  <si>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</si>
  <si>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</si>
  <si>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</si>
  <si>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</si>
  <si>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</si>
  <si>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</si>
  <si>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</si>
  <si>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</si>
  <si>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</si>
  <si>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</si>
  <si>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</si>
  <si>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</si>
  <si>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</si>
  <si>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</si>
  <si>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</si>
  <si>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</si>
  <si>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</si>
  <si>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</si>
  <si>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</si>
  <si>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</si>
  <si>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</si>
  <si>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</si>
  <si>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</si>
  <si>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</si>
  <si>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</si>
  <si>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</si>
  <si>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</si>
  <si>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</si>
  <si>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</si>
  <si>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</si>
  <si>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</si>
  <si>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</si>
  <si>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</si>
  <si>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</si>
  <si>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</si>
  <si>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</si>
  <si>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</si>
  <si>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</si>
  <si>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</si>
  <si>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</si>
  <si>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</si>
  <si>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</si>
  <si>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</si>
  <si>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</si>
  <si>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</si>
  <si>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</si>
  <si>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</si>
  <si>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</si>
  <si>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</si>
  <si>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</si>
  <si>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</si>
  <si>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</si>
  <si>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</si>
  <si>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</si>
  <si>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</si>
  <si>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</si>
  <si>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</si>
  <si>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</si>
  <si>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</si>
  <si>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</si>
  <si>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</si>
  <si>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</si>
  <si>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</si>
  <si>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</si>
  <si>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</si>
  <si>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</si>
  <si>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</si>
  <si>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</si>
  <si>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</si>
  <si>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</si>
  <si>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</si>
  <si>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</si>
  <si>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</si>
  <si>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</si>
  <si>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</si>
  <si>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</si>
  <si>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</si>
  <si>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</si>
  <si>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</si>
  <si>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</si>
  <si>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</si>
  <si>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</si>
  <si>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</si>
  <si>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</si>
  <si>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</si>
  <si>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</si>
  <si>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</si>
  <si>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</si>
  <si>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</si>
  <si>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</si>
  <si>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</si>
  <si>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</si>
  <si>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</si>
  <si>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</si>
  <si>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</si>
  <si>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</si>
  <si>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</si>
  <si>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</si>
  <si>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</si>
  <si>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</si>
  <si>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</si>
  <si>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</si>
  <si>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</si>
  <si>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</si>
  <si>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</si>
  <si>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</si>
  <si>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</si>
  <si>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</si>
  <si>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</si>
  <si>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</si>
  <si>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</si>
  <si>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</si>
  <si>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</si>
  <si>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</si>
  <si>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</si>
  <si>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</si>
  <si>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</si>
  <si>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</si>
  <si>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</si>
  <si>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</si>
  <si>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</si>
  <si>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</si>
  <si>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</si>
  <si>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</si>
  <si>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</si>
  <si>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</si>
  <si>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</si>
  <si>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</si>
  <si>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</si>
  <si>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</si>
  <si>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</si>
  <si>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</si>
  <si>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</si>
  <si>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</si>
  <si>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</si>
  <si>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</si>
  <si>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</si>
  <si>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</si>
  <si>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</si>
  <si>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</si>
  <si>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</si>
  <si>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</si>
  <si>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</si>
  <si>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</si>
  <si>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</si>
  <si>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</si>
  <si>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</si>
  <si>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</si>
  <si>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</si>
  <si>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</si>
  <si>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</si>
  <si>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</si>
  <si>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</si>
  <si>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</si>
  <si>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</si>
  <si>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</si>
  <si>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</si>
  <si>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</si>
  <si>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</si>
  <si>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</si>
  <si>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</si>
  <si>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</si>
  <si>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</si>
  <si>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</si>
  <si>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</si>
  <si>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</si>
  <si>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</si>
  <si>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</si>
  <si>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</si>
  <si>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</si>
  <si>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</si>
  <si>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</si>
  <si>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</si>
  <si>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</si>
  <si>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</si>
  <si>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</si>
  <si>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</si>
  <si>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</si>
  <si>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</si>
  <si>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</si>
  <si>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</si>
  <si>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</si>
  <si>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</si>
  <si>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</si>
  <si>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</si>
  <si>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</si>
  <si>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</si>
  <si>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</si>
  <si>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</si>
  <si>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</si>
  <si>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</si>
  <si>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</si>
  <si>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</si>
  <si>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</si>
  <si>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</si>
  <si>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</si>
  <si>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</si>
  <si>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</si>
  <si>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</si>
  <si>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</si>
  <si>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</si>
  <si>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</si>
  <si>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</si>
  <si>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</si>
  <si>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</si>
  <si>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</si>
  <si>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</si>
  <si>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</si>
  <si>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</si>
  <si>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</si>
  <si>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</si>
  <si>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</si>
  <si>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</si>
  <si>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</si>
  <si>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</si>
  <si>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</si>
  <si>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</si>
  <si>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</si>
  <si>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</si>
  <si>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</si>
  <si>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</si>
  <si>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</si>
  <si>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</si>
  <si>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</si>
  <si>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</si>
  <si>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</si>
  <si>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</si>
  <si>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</si>
  <si>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</si>
  <si>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</si>
  <si>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</si>
  <si>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</si>
  <si>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</si>
  <si>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</si>
  <si>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</si>
  <si>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</si>
  <si>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</si>
  <si>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</si>
  <si>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</si>
  <si>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</si>
  <si>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</si>
  <si>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</si>
  <si>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</si>
  <si>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</si>
  <si>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</si>
  <si>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</si>
  <si>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</si>
  <si>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</si>
  <si>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</si>
  <si>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</si>
  <si>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</si>
  <si>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</si>
  <si>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</si>
  <si>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</si>
  <si>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</si>
  <si>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</si>
  <si>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</si>
  <si>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</si>
  <si>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</si>
  <si>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</si>
  <si>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</si>
  <si>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</si>
  <si>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</si>
  <si>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</si>
  <si>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</si>
  <si>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</si>
  <si>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</si>
  <si>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</si>
  <si>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</si>
  <si>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</si>
  <si>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</si>
  <si>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</si>
  <si>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</si>
  <si>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</si>
  <si>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</si>
  <si>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</si>
  <si>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</si>
  <si>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</si>
  <si>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</si>
  <si>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</si>
  <si>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</si>
  <si>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</si>
  <si>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</si>
  <si>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</si>
  <si>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</si>
  <si>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</si>
  <si>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</si>
  <si>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</si>
  <si>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</si>
  <si>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</si>
  <si>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</si>
  <si>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</si>
  <si>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</si>
  <si>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</si>
  <si>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</si>
  <si>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</si>
  <si>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</si>
  <si>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</si>
  <si>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</si>
  <si>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</si>
  <si>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</si>
  <si>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</si>
  <si>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</si>
  <si>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</si>
  <si>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</si>
  <si>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</si>
  <si>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</si>
  <si>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</si>
  <si>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</si>
  <si>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</si>
  <si>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</si>
  <si>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</si>
  <si>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</si>
  <si>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</si>
  <si>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</si>
  <si>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</si>
  <si>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</si>
  <si>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</si>
  <si>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</si>
  <si>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</si>
  <si>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</si>
  <si>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</si>
  <si>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</si>
  <si>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</si>
  <si>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</si>
  <si>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</si>
  <si>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</si>
  <si>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</si>
  <si>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</si>
  <si>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</si>
  <si>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</si>
  <si>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</si>
  <si>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</si>
  <si>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</si>
  <si>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</si>
  <si>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</si>
  <si>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</si>
  <si>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</si>
  <si>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</si>
  <si>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</si>
  <si>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</si>
  <si>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</si>
  <si>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</si>
  <si>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</si>
  <si>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</si>
  <si>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</si>
  <si>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</si>
  <si>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</si>
  <si>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</si>
  <si>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</si>
  <si>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</si>
  <si>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</si>
  <si>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</si>
  <si>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</si>
  <si>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</si>
  <si>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</si>
  <si>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</si>
  <si>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</si>
  <si>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</si>
  <si>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</si>
  <si>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</si>
  <si>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</si>
  <si>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</si>
  <si>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</si>
  <si>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</si>
  <si>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</si>
  <si>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</si>
  <si>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</si>
  <si>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</si>
  <si>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</si>
  <si>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</si>
  <si>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</si>
  <si>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</si>
  <si>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</si>
  <si>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</si>
  <si>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</si>
  <si>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</si>
  <si>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</si>
  <si>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</si>
  <si>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</si>
  <si>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</si>
  <si>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</si>
  <si>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</si>
  <si>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</si>
  <si>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</si>
  <si>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</si>
  <si>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</si>
  <si>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</si>
  <si>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</si>
  <si>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</si>
  <si>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</si>
  <si>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</si>
  <si>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</si>
  <si>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</si>
  <si>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</si>
  <si>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</si>
  <si>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</si>
  <si>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</si>
  <si>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</si>
  <si>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</si>
  <si>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</si>
  <si>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</si>
  <si>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</si>
  <si>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</si>
  <si>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</si>
  <si>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</si>
  <si>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</si>
  <si>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</si>
  <si>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</si>
  <si>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</si>
  <si>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</si>
  <si>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</si>
  <si>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</si>
  <si>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</si>
  <si>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</si>
  <si>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</si>
  <si>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</si>
  <si>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</si>
  <si>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</si>
  <si>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</si>
  <si>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</si>
  <si>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</si>
  <si>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</si>
  <si>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</si>
  <si>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</si>
  <si>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</si>
  <si>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</si>
  <si>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</si>
  <si>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</si>
  <si>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</si>
  <si>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</si>
  <si>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</si>
  <si>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</si>
  <si>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</si>
  <si>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</si>
  <si>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</si>
  <si>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</si>
  <si>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</si>
  <si>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</si>
  <si>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</si>
  <si>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</si>
  <si>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</si>
  <si>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</si>
  <si>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</si>
  <si>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</si>
  <si>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</si>
  <si>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</si>
  <si>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</si>
  <si>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</si>
  <si>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</si>
  <si>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</si>
  <si>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</si>
  <si>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</si>
  <si>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</si>
  <si>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</si>
  <si>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</si>
  <si>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</si>
  <si>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</si>
  <si>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</si>
  <si>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</si>
  <si>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</si>
  <si>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</si>
  <si>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</si>
  <si>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</si>
  <si>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</si>
  <si>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</si>
  <si>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</si>
  <si>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</si>
  <si>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</si>
  <si>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</si>
  <si>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</si>
  <si>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</si>
  <si>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</si>
  <si>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</si>
  <si>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</si>
  <si>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</si>
  <si>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</si>
  <si>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</si>
  <si>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</si>
  <si>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</si>
  <si>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</si>
  <si>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</si>
  <si>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</si>
  <si>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</si>
  <si>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</si>
  <si>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</si>
  <si>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</si>
  <si>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</si>
  <si>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</si>
  <si>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</si>
  <si>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</si>
  <si>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</si>
  <si>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</si>
  <si>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</si>
  <si>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</si>
  <si>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</si>
  <si>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</si>
  <si>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</si>
  <si>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</si>
  <si>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</si>
  <si>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</si>
  <si>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</si>
  <si>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</si>
  <si>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</si>
  <si>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</si>
  <si>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</si>
  <si>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</si>
  <si>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</si>
  <si>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</si>
  <si>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</si>
  <si>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</si>
  <si>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</si>
  <si>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</si>
  <si>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</si>
  <si>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</si>
  <si>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</si>
  <si>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</si>
  <si>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</si>
  <si>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</si>
  <si>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</si>
  <si>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</si>
  <si>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</si>
  <si>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</si>
  <si>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</si>
  <si>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</si>
  <si>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</si>
  <si>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</si>
  <si>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</si>
  <si>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</si>
  <si>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</si>
  <si>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</si>
  <si>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</si>
  <si>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</si>
  <si>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</si>
  <si>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</si>
  <si>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</si>
  <si>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</si>
  <si>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</si>
  <si>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</si>
  <si>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</si>
  <si>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</si>
  <si>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</si>
  <si>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</si>
  <si>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</si>
  <si>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</si>
  <si>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</si>
  <si>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</si>
  <si>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</si>
  <si>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</si>
  <si>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</si>
  <si>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</si>
  <si>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</si>
  <si>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</si>
  <si>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</si>
  <si>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</si>
  <si>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</si>
  <si>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</si>
  <si>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</si>
  <si>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</si>
  <si>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</si>
  <si>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</si>
  <si>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</si>
  <si>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</si>
  <si>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</si>
  <si>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</si>
  <si>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</si>
  <si>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</si>
  <si>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</si>
  <si>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</si>
  <si>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</si>
  <si>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</si>
  <si>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</si>
  <si>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</si>
  <si>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</si>
  <si>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</si>
  <si>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</si>
  <si>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</si>
  <si>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</si>
  <si>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</si>
  <si>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</si>
  <si>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</si>
  <si>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</si>
  <si>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</si>
  <si>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</si>
  <si>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</si>
  <si>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</si>
  <si>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</si>
  <si>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</si>
  <si>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</si>
  <si>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</si>
  <si>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</si>
  <si>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</si>
  <si>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</si>
  <si>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</si>
  <si>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</si>
  <si>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</si>
  <si>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</si>
  <si>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</si>
  <si>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</si>
  <si>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</si>
  <si>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</si>
  <si>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</si>
  <si>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</si>
  <si>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</si>
  <si>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</si>
  <si>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</si>
  <si>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</si>
  <si>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</si>
  <si>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</si>
  <si>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</si>
  <si>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</si>
  <si>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</si>
  <si>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</si>
  <si>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</si>
  <si>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</si>
  <si>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</si>
  <si>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</si>
  <si>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</si>
  <si>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</si>
  <si>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</si>
  <si>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</si>
  <si>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</si>
  <si>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</si>
  <si>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</si>
  <si>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</si>
  <si>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</si>
  <si>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</si>
  <si>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</si>
  <si>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</si>
  <si>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</si>
  <si>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</si>
  <si>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</si>
  <si>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</si>
  <si>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</si>
  <si>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</si>
  <si>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</si>
  <si>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</si>
  <si>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</si>
  <si>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</si>
  <si>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</si>
  <si>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</si>
  <si>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</si>
  <si>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</si>
  <si>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</si>
  <si>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</si>
  <si>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</si>
  <si>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</si>
  <si>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</si>
  <si>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</si>
  <si>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</si>
  <si>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</si>
  <si>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</si>
  <si>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</si>
  <si>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</si>
  <si>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</si>
  <si>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</si>
  <si>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</si>
  <si>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</si>
  <si>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</si>
  <si>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</si>
  <si>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</si>
  <si>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</si>
  <si>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</si>
  <si>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</si>
  <si>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</si>
  <si>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</si>
  <si>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</si>
  <si>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</si>
  <si>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</si>
  <si>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</si>
  <si>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</si>
  <si>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</si>
  <si>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</si>
  <si>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</si>
  <si>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</si>
  <si>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</si>
  <si>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</si>
  <si>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</si>
  <si>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</si>
  <si>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</si>
  <si>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</si>
  <si>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</si>
  <si>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</si>
  <si>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</si>
  <si>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</si>
  <si>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</si>
  <si>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</si>
  <si>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</si>
  <si>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</si>
  <si>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</si>
  <si>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</si>
  <si>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</si>
  <si>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</si>
  <si>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</si>
  <si>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</si>
  <si>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</si>
  <si>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</si>
  <si>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</si>
  <si>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</si>
  <si>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</si>
  <si>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</si>
  <si>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</si>
  <si>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</si>
  <si>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</si>
  <si>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</si>
  <si>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</si>
  <si>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</si>
  <si>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</si>
  <si>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</si>
  <si>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</si>
  <si>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</si>
  <si>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</si>
  <si>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</si>
  <si>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</si>
  <si>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</si>
  <si>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</si>
  <si>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</si>
  <si>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</si>
  <si>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</si>
  <si>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</si>
  <si>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</si>
  <si>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</si>
  <si>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</si>
  <si>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</si>
  <si>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</si>
  <si>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</si>
  <si>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</si>
  <si>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</si>
  <si>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</si>
  <si>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</si>
  <si>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</si>
  <si>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</si>
  <si>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</si>
  <si>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</si>
  <si>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</si>
  <si>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</si>
  <si>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</si>
  <si>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</si>
  <si>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</si>
  <si>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</si>
  <si>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</si>
  <si>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</si>
  <si>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</si>
  <si>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</si>
  <si>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</si>
  <si>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</si>
  <si>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</si>
  <si>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</si>
  <si>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</si>
  <si>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</si>
  <si>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</si>
  <si>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</si>
  <si>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</si>
  <si>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</si>
  <si>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</si>
  <si>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</si>
  <si>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</si>
  <si>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</si>
  <si>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</si>
  <si>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</si>
  <si>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</si>
  <si>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</si>
  <si>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</si>
  <si>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</si>
  <si>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</si>
  <si>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</si>
  <si>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</si>
  <si>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</si>
  <si>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</si>
  <si>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</si>
  <si>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</si>
  <si>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</si>
  <si>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</si>
  <si>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</si>
  <si>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</si>
  <si>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</si>
  <si>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</si>
  <si>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</si>
  <si>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</si>
  <si>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</si>
  <si>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</si>
  <si>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</si>
  <si>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</si>
  <si>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</si>
  <si>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</si>
  <si>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</si>
  <si>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</si>
  <si>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</si>
  <si>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</si>
  <si>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</si>
  <si>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</si>
  <si>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</si>
  <si>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</si>
  <si>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</si>
  <si>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</si>
  <si>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</si>
  <si>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</si>
  <si>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</si>
  <si>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</si>
  <si>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</si>
  <si>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</si>
  <si>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</si>
  <si>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</si>
  <si>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</si>
  <si>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</si>
  <si>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</si>
  <si>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</si>
  <si>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</si>
  <si>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</si>
  <si>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</si>
  <si>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</si>
  <si>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</si>
  <si>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</si>
  <si>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</si>
  <si>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</si>
  <si>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</si>
  <si>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</si>
  <si>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</si>
  <si>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</si>
  <si>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</si>
  <si>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</si>
  <si>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</si>
  <si>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</si>
  <si>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</si>
  <si>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</si>
  <si>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</si>
  <si>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</si>
  <si>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</si>
  <si>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</si>
  <si>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</si>
  <si>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</si>
  <si>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</si>
  <si>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</si>
  <si>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</si>
  <si>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</si>
  <si>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</si>
  <si>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</si>
  <si>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</si>
  <si>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</si>
  <si>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</si>
  <si>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</si>
  <si>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</si>
  <si>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</si>
  <si>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</si>
  <si>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</si>
  <si>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</si>
  <si>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</si>
  <si>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</si>
  <si>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</si>
  <si>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</si>
  <si>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</si>
  <si>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</si>
  <si>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</si>
  <si>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</si>
  <si>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</si>
  <si>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</si>
  <si>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</si>
  <si>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</si>
  <si>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</si>
  <si>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</si>
  <si>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</si>
  <si>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</si>
  <si>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</si>
  <si>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</si>
  <si>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</si>
  <si>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</si>
  <si>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</si>
  <si>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</si>
  <si>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</si>
  <si>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</si>
  <si>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</si>
  <si>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</si>
  <si>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</si>
  <si>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</si>
  <si>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</si>
  <si>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</si>
  <si>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</si>
  <si>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</si>
  <si>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</si>
  <si>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</si>
  <si>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</si>
  <si>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</si>
  <si>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</si>
  <si>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</si>
  <si>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</si>
  <si>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</si>
  <si>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</si>
  <si>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</si>
  <si>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</si>
  <si>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</si>
  <si>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</si>
  <si>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</si>
  <si>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</si>
  <si>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</si>
  <si>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</si>
  <si>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</si>
  <si>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</si>
  <si>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</si>
  <si>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</si>
  <si>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</si>
  <si>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</si>
  <si>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</si>
  <si>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</si>
  <si>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</si>
  <si>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</si>
  <si>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</si>
  <si>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</si>
  <si>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</si>
  <si>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</si>
  <si>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</si>
  <si>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</si>
  <si>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</si>
  <si>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</si>
  <si>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</si>
  <si>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</si>
  <si>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</si>
  <si>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</si>
  <si>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</si>
  <si>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</si>
  <si>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</si>
  <si>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</si>
  <si>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</si>
  <si>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</si>
  <si>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</si>
  <si>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</si>
  <si>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</si>
  <si>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</si>
  <si>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</si>
  <si>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</si>
  <si>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</si>
  <si>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</si>
  <si>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</si>
  <si>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</si>
  <si>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</si>
  <si>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</si>
  <si>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</si>
  <si>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</si>
  <si>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</si>
  <si>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</si>
  <si>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</si>
  <si>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</si>
  <si>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</si>
  <si>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</si>
  <si>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</si>
  <si>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</si>
  <si>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</si>
  <si>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</si>
  <si>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</si>
  <si>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</si>
  <si>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</si>
  <si>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</si>
  <si>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</si>
  <si>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</si>
  <si>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</si>
  <si>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</si>
  <si>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</si>
  <si>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</si>
  <si>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</si>
  <si>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</si>
  <si>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</si>
  <si>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</si>
  <si>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</si>
  <si>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</si>
  <si>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</si>
  <si>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</si>
  <si>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</si>
  <si>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</si>
  <si>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</si>
  <si>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</si>
  <si>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</si>
  <si>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</si>
  <si>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</si>
  <si>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</si>
  <si>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</si>
  <si>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</si>
  <si>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</si>
  <si>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</si>
  <si>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</si>
  <si>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</si>
  <si>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</si>
  <si>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</si>
  <si>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</si>
  <si>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</si>
  <si>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</si>
  <si>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</si>
  <si>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</si>
  <si>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</si>
  <si>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</si>
  <si>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</si>
  <si>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</si>
  <si>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</si>
  <si>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</si>
  <si>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</si>
  <si>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</si>
  <si>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</si>
  <si>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</si>
  <si>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</si>
  <si>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</si>
  <si>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</si>
  <si>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</si>
  <si>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</si>
  <si>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</si>
  <si>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</si>
  <si>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</si>
  <si>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</si>
  <si>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</si>
  <si>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</si>
  <si>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</si>
  <si>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</si>
  <si>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</si>
  <si>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</si>
  <si>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</si>
  <si>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</si>
  <si>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</si>
  <si>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</si>
  <si>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</si>
  <si>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</si>
  <si>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</si>
  <si>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</si>
  <si>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</si>
  <si>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</si>
  <si>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</si>
  <si>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</si>
  <si>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</si>
  <si>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</si>
  <si>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</si>
  <si>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</si>
  <si>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</si>
  <si>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</si>
  <si>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</si>
  <si>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</si>
  <si>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</si>
  <si>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</si>
  <si>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</si>
  <si>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</si>
  <si>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</si>
  <si>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</si>
  <si>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</si>
  <si>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</si>
  <si>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</si>
  <si>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</si>
  <si>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</si>
  <si>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</si>
  <si>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</si>
  <si>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</si>
  <si>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</si>
  <si>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</si>
  <si>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</si>
  <si>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</si>
  <si>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</si>
  <si>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</si>
  <si>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</si>
  <si>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</si>
  <si>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</si>
  <si>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</si>
  <si>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</si>
  <si>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</si>
  <si>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</si>
  <si>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</si>
  <si>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</si>
  <si>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</si>
  <si>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</si>
  <si>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</si>
  <si>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</si>
  <si>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</si>
  <si>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</si>
  <si>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</si>
  <si>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</si>
  <si>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</si>
  <si>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</si>
  <si>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</si>
  <si>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</si>
  <si>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</si>
  <si>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</si>
  <si>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</si>
  <si>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</si>
  <si>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</si>
  <si>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</si>
  <si>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</si>
  <si>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</si>
  <si>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</si>
  <si>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</si>
  <si>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</si>
  <si>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</si>
  <si>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</si>
  <si>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</si>
  <si>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</si>
  <si>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</si>
  <si>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</si>
  <si>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</si>
  <si>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</si>
  <si>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</si>
  <si>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</si>
  <si>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</si>
  <si>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</si>
  <si>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</si>
  <si>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</si>
  <si>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</si>
  <si>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</si>
  <si>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</si>
  <si>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</si>
  <si>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</si>
  <si>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</si>
  <si>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</si>
  <si>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</si>
  <si>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</si>
  <si>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</si>
  <si>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</si>
  <si>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</si>
  <si>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</si>
  <si>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</si>
  <si>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</si>
  <si>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</si>
  <si>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</si>
  <si>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</si>
  <si>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</si>
  <si>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</si>
  <si>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</si>
  <si>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</si>
  <si>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</si>
  <si>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</si>
  <si>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</si>
  <si>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</si>
  <si>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</si>
  <si>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</si>
  <si>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</si>
  <si>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</si>
  <si>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</si>
  <si>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</si>
  <si>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</si>
  <si>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</si>
  <si>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</si>
  <si>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</si>
  <si>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</si>
  <si>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</si>
  <si>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</si>
  <si>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</si>
  <si>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</si>
  <si>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</si>
  <si>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</si>
  <si>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</si>
  <si>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</si>
  <si>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</si>
  <si>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</si>
  <si>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</si>
  <si>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</si>
  <si>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</si>
  <si>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</si>
  <si>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</si>
  <si>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</si>
  <si>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</si>
  <si>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</si>
  <si>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</si>
  <si>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</si>
  <si>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</si>
  <si>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</si>
  <si>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</si>
  <si>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</si>
  <si>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</si>
  <si>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</si>
  <si>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</si>
  <si>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</si>
  <si>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</si>
  <si>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</si>
  <si>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</si>
  <si>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</si>
  <si>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</si>
  <si>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</si>
  <si>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</si>
  <si>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</si>
  <si>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</si>
  <si>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</si>
  <si>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</si>
  <si>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</si>
  <si>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</si>
  <si>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</si>
  <si>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</si>
  <si>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</si>
  <si>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</si>
  <si>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</si>
  <si>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</si>
  <si>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</si>
  <si>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</si>
  <si>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</si>
  <si>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</si>
  <si>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</si>
  <si>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</si>
  <si>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</si>
  <si>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</si>
  <si>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</si>
  <si>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</si>
  <si>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</si>
  <si>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</si>
  <si>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</si>
  <si>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</si>
  <si>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</si>
  <si>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</si>
  <si>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</si>
  <si>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</si>
  <si>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</si>
  <si>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</si>
  <si>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</si>
  <si>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</si>
  <si>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</si>
  <si>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</si>
  <si>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</si>
  <si>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</si>
  <si>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</si>
  <si>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</si>
  <si>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</si>
  <si>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</si>
  <si>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</si>
  <si>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</si>
  <si>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</si>
  <si>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</si>
  <si>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</si>
  <si>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</si>
  <si>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</si>
  <si>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</si>
  <si>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</si>
  <si>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</si>
  <si>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</si>
  <si>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</si>
  <si>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</si>
  <si>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</si>
  <si>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</si>
  <si>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</si>
  <si>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</si>
  <si>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</si>
  <si>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</si>
  <si>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</si>
  <si>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</si>
  <si>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</si>
  <si>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</si>
  <si>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</si>
  <si>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</si>
  <si>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</si>
  <si>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</si>
  <si>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</si>
  <si>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</si>
  <si>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</si>
  <si>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</si>
  <si>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</si>
  <si>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</si>
  <si>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</si>
  <si>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</si>
  <si>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</si>
  <si>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</si>
  <si>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</si>
  <si>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</si>
  <si>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</si>
  <si>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</si>
  <si>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</si>
  <si>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</si>
  <si>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</si>
  <si>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</si>
  <si>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</si>
  <si>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</si>
  <si>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</si>
  <si>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</si>
  <si>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</si>
  <si>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</si>
  <si>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</si>
  <si>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</si>
  <si>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</si>
  <si>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</si>
  <si>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</si>
  <si>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</si>
  <si>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</si>
  <si>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</si>
  <si>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</si>
  <si>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</si>
  <si>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</si>
  <si>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</si>
  <si>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</si>
  <si>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</si>
  <si>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</si>
  <si>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</si>
  <si>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</si>
  <si>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</si>
  <si>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</si>
  <si>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</si>
  <si>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</si>
  <si>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</si>
  <si>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</si>
  <si>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</si>
  <si>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</si>
  <si>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</si>
  <si>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</si>
  <si>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</si>
  <si>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</si>
  <si>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</si>
  <si>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</si>
  <si>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</si>
  <si>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</si>
  <si>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</si>
  <si>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</si>
  <si>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</si>
  <si>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</si>
  <si>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</si>
  <si>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</si>
  <si>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</si>
  <si>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</si>
  <si>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</si>
  <si>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</si>
  <si>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</si>
  <si>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</si>
  <si>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</si>
  <si>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</si>
  <si>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</si>
  <si>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</si>
  <si>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</si>
  <si>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</si>
  <si>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</si>
  <si>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</si>
  <si>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</si>
  <si>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</si>
  <si>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</si>
  <si>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</si>
  <si>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</si>
  <si>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</si>
  <si>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</si>
  <si>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</si>
  <si>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</si>
  <si>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</si>
  <si>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</si>
  <si>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</si>
  <si>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</si>
  <si>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</si>
  <si>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</si>
  <si>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</si>
  <si>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</si>
  <si>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</si>
  <si>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</si>
  <si>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</si>
  <si>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</si>
  <si>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</si>
  <si>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</si>
  <si>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</si>
  <si>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</si>
  <si>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</si>
  <si>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</si>
  <si>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</si>
  <si>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</si>
  <si>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</si>
  <si>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</si>
  <si>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</si>
  <si>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</si>
  <si>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</si>
  <si>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</si>
  <si>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</si>
  <si>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</si>
  <si>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</si>
  <si>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</si>
  <si>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</si>
  <si>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</si>
  <si>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</si>
  <si>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</si>
  <si>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</si>
  <si>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</si>
  <si>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</si>
  <si>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</si>
  <si>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</si>
  <si>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</si>
  <si>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</si>
  <si>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</si>
  <si>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</si>
  <si>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</si>
  <si>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</si>
  <si>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</si>
  <si>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</si>
  <si>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</si>
  <si>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</si>
  <si>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</si>
  <si>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</si>
  <si>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</si>
  <si>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</si>
  <si>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</si>
  <si>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</si>
  <si>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</si>
  <si>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</si>
  <si>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</si>
  <si>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</si>
  <si>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</si>
  <si>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</si>
  <si>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</si>
  <si>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</si>
  <si>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</si>
  <si>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</si>
  <si>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</si>
  <si>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</si>
  <si>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</si>
  <si>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</si>
  <si>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</si>
  <si>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</si>
  <si>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</si>
  <si>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</si>
  <si>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</si>
  <si>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</si>
  <si>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</si>
  <si>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</si>
  <si>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</si>
  <si>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</si>
  <si>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</si>
  <si>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</si>
  <si>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</si>
  <si>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</si>
  <si>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</si>
  <si>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</si>
  <si>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</si>
  <si>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</si>
  <si>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</si>
  <si>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</si>
  <si>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</si>
  <si>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</si>
  <si>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</si>
  <si>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</si>
  <si>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</si>
  <si>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</si>
  <si>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</si>
  <si>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</si>
  <si>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</si>
  <si>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</si>
  <si>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</si>
  <si>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</si>
  <si>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</si>
  <si>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</si>
  <si>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</si>
  <si>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</si>
  <si>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</si>
  <si>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</si>
  <si>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</si>
  <si>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</si>
  <si>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</si>
  <si>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</si>
  <si>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</si>
  <si>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</si>
  <si>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</si>
  <si>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</si>
  <si>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</si>
  <si>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</si>
  <si>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</si>
  <si>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</si>
  <si>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</si>
  <si>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</si>
  <si>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</si>
  <si>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</si>
  <si>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</si>
  <si>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</si>
  <si>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</si>
  <si>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</si>
  <si>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</si>
  <si>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</si>
  <si>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</si>
  <si>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</si>
  <si>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</si>
  <si>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</si>
  <si>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</si>
  <si>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</si>
  <si>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</si>
  <si>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</si>
  <si>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</si>
  <si>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</si>
  <si>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</si>
  <si>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</si>
  <si>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</si>
  <si>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</si>
  <si>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</si>
  <si>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</si>
  <si>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</si>
  <si>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</si>
  <si>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</si>
  <si>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</si>
  <si>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</si>
  <si>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</si>
  <si>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</si>
  <si>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</si>
  <si>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</si>
  <si>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</si>
  <si>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</si>
  <si>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</si>
  <si>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</si>
  <si>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</si>
  <si>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</si>
  <si>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</si>
  <si>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</si>
  <si>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</si>
  <si>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</si>
  <si>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</si>
  <si>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</si>
  <si>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</si>
  <si>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</si>
  <si>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</si>
  <si>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</si>
  <si>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</si>
  <si>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</si>
  <si>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</si>
  <si>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</si>
  <si>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</si>
  <si>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</si>
  <si>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</si>
  <si>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</si>
  <si>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</si>
  <si>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</si>
  <si>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</si>
  <si>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</si>
  <si>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</si>
  <si>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</si>
  <si>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</si>
  <si>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</si>
  <si>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</si>
  <si>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</si>
  <si>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</si>
  <si>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</si>
  <si>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</si>
  <si>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</si>
  <si>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</si>
  <si>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</si>
  <si>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</si>
  <si>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</si>
  <si>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</si>
  <si>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</si>
  <si>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</si>
  <si>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</si>
  <si>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</si>
  <si>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</si>
  <si>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</si>
  <si>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</si>
  <si>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</si>
  <si>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</si>
  <si>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</si>
  <si>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</si>
  <si>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</si>
  <si>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</si>
  <si>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</si>
  <si>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</si>
  <si>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</si>
  <si>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</si>
  <si>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</si>
  <si>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</si>
  <si>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</si>
  <si>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</si>
  <si>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</si>
  <si>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</si>
  <si>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</si>
  <si>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</si>
  <si>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</si>
  <si>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</si>
  <si>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</si>
  <si>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</si>
  <si>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</si>
  <si>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</si>
  <si>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</si>
  <si>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</si>
  <si>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</si>
  <si>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</si>
  <si>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</si>
  <si>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</si>
  <si>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</si>
  <si>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</si>
  <si>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</si>
  <si>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</si>
  <si>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</si>
  <si>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</si>
  <si>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</si>
  <si>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</si>
  <si>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</si>
  <si>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</si>
  <si>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</si>
  <si>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</si>
  <si>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</si>
  <si>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</si>
  <si>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</si>
  <si>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</si>
  <si>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</si>
  <si>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</si>
  <si>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</si>
  <si>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</si>
  <si>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</si>
  <si>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</si>
  <si>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</si>
  <si>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</si>
  <si>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</si>
  <si>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</si>
  <si>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</si>
  <si>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</si>
  <si>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</si>
  <si>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</si>
  <si>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</si>
  <si>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</si>
  <si>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</si>
  <si>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</si>
  <si>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</si>
  <si>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</si>
  <si>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</si>
  <si>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</si>
  <si>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</si>
  <si>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</si>
  <si>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</si>
  <si>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</si>
  <si>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</si>
  <si>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</si>
  <si>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</si>
  <si>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</si>
  <si>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</si>
  <si>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</si>
  <si>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</si>
  <si>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</si>
  <si>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</si>
  <si>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</si>
  <si>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</si>
  <si>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</si>
  <si>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</si>
  <si>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</si>
  <si>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</si>
  <si>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</si>
  <si>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</si>
  <si>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</si>
  <si>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</si>
  <si>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</si>
  <si>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</si>
  <si>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</si>
  <si>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</si>
  <si>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</si>
  <si>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</si>
  <si>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</si>
  <si>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</si>
  <si>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</si>
  <si>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</si>
  <si>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</si>
  <si>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</si>
  <si>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</si>
  <si>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</si>
  <si>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</si>
  <si>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</si>
  <si>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</si>
  <si>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</si>
  <si>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</si>
  <si>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</si>
  <si>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</si>
  <si>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</si>
  <si>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</si>
  <si>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</si>
  <si>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</si>
  <si>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</si>
  <si>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</si>
  <si>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</si>
  <si>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</si>
  <si>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</si>
  <si>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</si>
  <si>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</si>
  <si>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</si>
  <si>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</si>
  <si>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</si>
  <si>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</si>
  <si>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</si>
  <si>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</si>
  <si>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</si>
  <si>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</si>
  <si>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</si>
  <si>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</si>
  <si>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</si>
  <si>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</si>
  <si>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</si>
  <si>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</si>
  <si>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</si>
  <si>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</si>
  <si>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</si>
  <si>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</si>
  <si>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</si>
  <si>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</si>
  <si>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</si>
  <si>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</si>
  <si>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</si>
  <si>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</si>
  <si>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</si>
  <si>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</si>
  <si>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</si>
  <si>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</si>
  <si>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</si>
  <si>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</si>
  <si>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</si>
  <si>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</si>
  <si>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</si>
  <si>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</si>
  <si>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</si>
  <si>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</si>
  <si>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</si>
  <si>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</si>
  <si>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</si>
  <si>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</si>
  <si>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</si>
  <si>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</si>
  <si>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</si>
  <si>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</si>
  <si>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</si>
  <si>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</si>
  <si>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</si>
  <si>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</si>
  <si>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</si>
  <si>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</si>
  <si>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</si>
  <si>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</si>
  <si>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</si>
  <si>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</si>
  <si>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</si>
  <si>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</si>
  <si>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</si>
  <si>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</si>
  <si>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</si>
  <si>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</si>
  <si>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</si>
  <si>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</si>
  <si>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</si>
  <si>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</si>
  <si>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</si>
  <si>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</si>
  <si>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</si>
  <si>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</si>
  <si>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</si>
  <si>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</si>
  <si>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</si>
  <si>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</si>
  <si>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</si>
  <si>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</si>
  <si>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</si>
  <si>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</si>
  <si>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</si>
  <si>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</si>
  <si>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</si>
  <si>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</si>
  <si>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</si>
  <si>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</si>
  <si>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</si>
  <si>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</si>
  <si>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</si>
  <si>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</si>
  <si>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</si>
  <si>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</si>
  <si>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</si>
  <si>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</si>
  <si>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</si>
  <si>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</si>
  <si>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</si>
  <si>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</si>
  <si>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</si>
  <si>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</si>
  <si>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</si>
  <si>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</si>
  <si>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</si>
  <si>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</si>
  <si>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</si>
  <si>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</si>
  <si>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</si>
  <si>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</si>
  <si>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</si>
  <si>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</si>
  <si>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</si>
  <si>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</si>
  <si>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</si>
  <si>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</si>
  <si>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</si>
  <si>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</si>
  <si>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</si>
  <si>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</si>
  <si>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</si>
  <si>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</si>
  <si>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</si>
  <si>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</si>
  <si>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</si>
  <si>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</si>
  <si>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</si>
  <si>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</si>
  <si>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</si>
  <si>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</si>
  <si>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</si>
  <si>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</si>
  <si>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</si>
  <si>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</si>
  <si>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</si>
  <si>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</si>
  <si>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</si>
  <si>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</si>
  <si>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</si>
  <si>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</si>
  <si>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</si>
  <si>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</si>
  <si>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</si>
  <si>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</si>
  <si>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</si>
  <si>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</si>
  <si>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</si>
  <si>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</si>
  <si>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</si>
  <si>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</si>
  <si>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</si>
  <si>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</si>
  <si>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</si>
  <si>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</si>
  <si>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</si>
  <si>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</si>
  <si>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</si>
  <si>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</si>
  <si>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</si>
  <si>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</si>
  <si>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</si>
  <si>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</si>
  <si>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</si>
  <si>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</si>
  <si>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</si>
  <si>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</si>
  <si>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</si>
  <si>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</si>
  <si>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</si>
  <si>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</si>
  <si>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</si>
  <si>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</si>
  <si>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</si>
  <si>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</si>
  <si>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</si>
  <si>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</si>
  <si>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</si>
  <si>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</si>
  <si>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</si>
  <si>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</si>
  <si>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</si>
  <si>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</si>
  <si>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</si>
  <si>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</si>
  <si>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</si>
  <si>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</si>
  <si>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</si>
  <si>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</si>
  <si>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</si>
  <si>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</si>
  <si>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</si>
  <si>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</si>
  <si>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</si>
  <si>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</si>
  <si>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</si>
  <si>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</si>
  <si>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</si>
  <si>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</si>
  <si>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</si>
  <si>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</si>
  <si>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</si>
  <si>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</si>
  <si>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</si>
  <si>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</si>
  <si>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</si>
  <si>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</si>
  <si>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</si>
  <si>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</si>
  <si>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</si>
  <si>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</si>
  <si>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</si>
  <si>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</si>
  <si>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</si>
  <si>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</si>
  <si>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</si>
  <si>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</si>
  <si>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</si>
  <si>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</si>
  <si>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</si>
  <si>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</si>
  <si>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</si>
  <si>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</si>
  <si>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</si>
  <si>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</si>
  <si>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</si>
  <si>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</si>
  <si>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</si>
  <si>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</si>
  <si>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</si>
  <si>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</si>
  <si>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</si>
  <si>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</si>
  <si>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</si>
  <si>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</si>
  <si>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</si>
  <si>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</si>
  <si>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</si>
  <si>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</si>
  <si>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</si>
  <si>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</si>
  <si>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</si>
  <si>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</si>
  <si>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</si>
  <si>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</si>
  <si>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</si>
  <si>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</si>
  <si>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</si>
  <si>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</si>
  <si>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</si>
  <si>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</si>
  <si>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</si>
  <si>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</si>
  <si>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</si>
  <si>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</si>
  <si>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</si>
  <si>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</si>
  <si>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</si>
  <si>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</si>
  <si>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</si>
  <si>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</si>
  <si>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</si>
  <si>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</si>
  <si>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</si>
  <si>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</si>
  <si>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</si>
  <si>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</si>
  <si>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</si>
  <si>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</si>
  <si>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</si>
  <si>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</si>
  <si>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</si>
  <si>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</si>
  <si>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</si>
  <si>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</si>
  <si>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</si>
  <si>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</si>
  <si>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</si>
  <si>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</si>
  <si>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</si>
  <si>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</si>
  <si>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</si>
  <si>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</si>
  <si>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</si>
  <si>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</si>
  <si>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</si>
  <si>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</si>
  <si>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</si>
  <si>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</si>
  <si>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</si>
  <si>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</si>
  <si>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</si>
  <si>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</si>
  <si>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</si>
  <si>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</si>
  <si>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</si>
  <si>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</si>
  <si>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</si>
  <si>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</si>
  <si>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</si>
  <si>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</si>
  <si>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</si>
  <si>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</si>
  <si>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</si>
  <si>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</si>
  <si>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</si>
  <si>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</si>
  <si>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</si>
  <si>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</si>
  <si>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</si>
  <si>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</si>
  <si>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</si>
  <si>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</si>
  <si>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</si>
  <si>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</si>
  <si>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</si>
  <si>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</si>
  <si>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</si>
  <si>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</si>
  <si>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</si>
  <si>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</si>
  <si>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</si>
  <si>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</si>
  <si>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</si>
  <si>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</si>
  <si>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</si>
  <si>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</si>
  <si>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</si>
  <si>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</si>
  <si>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</si>
  <si>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</si>
  <si>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</si>
  <si>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</si>
  <si>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</si>
  <si>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</si>
  <si>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</si>
  <si>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</si>
  <si>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</si>
  <si>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</si>
  <si>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</si>
  <si>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</si>
  <si>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</si>
  <si>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</si>
  <si>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</si>
  <si>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</si>
  <si>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</si>
  <si>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</si>
  <si>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</si>
  <si>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</si>
  <si>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</si>
  <si>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</si>
  <si>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</si>
  <si>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</si>
  <si>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</si>
  <si>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</si>
  <si>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</si>
  <si>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</si>
  <si>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</si>
  <si>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</si>
  <si>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</si>
  <si>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</si>
  <si>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</si>
  <si>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</si>
  <si>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</si>
  <si>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</si>
  <si>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</si>
  <si>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</si>
  <si>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</si>
  <si>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</si>
  <si>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</si>
  <si>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</si>
  <si>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</si>
  <si>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</si>
  <si>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</si>
  <si>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</si>
  <si>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</si>
  <si>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</si>
  <si>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</si>
  <si>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</si>
  <si>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</si>
  <si>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</si>
  <si>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</si>
  <si>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</si>
  <si>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</si>
  <si>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</si>
  <si>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</si>
  <si>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</si>
  <si>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</si>
  <si>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</si>
  <si>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</si>
  <si>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</si>
  <si>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</si>
  <si>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</si>
  <si>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</si>
  <si>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</si>
  <si>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</si>
  <si>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</si>
  <si>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</si>
  <si>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</si>
  <si>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</si>
  <si>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</si>
  <si>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</si>
  <si>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</si>
  <si>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</si>
  <si>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</si>
  <si>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</si>
  <si>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</si>
  <si>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</si>
  <si>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</si>
  <si>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</si>
  <si>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</si>
  <si>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</si>
  <si>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</si>
  <si>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</si>
  <si>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</si>
  <si>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</si>
  <si>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</si>
  <si>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</si>
  <si>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</si>
  <si>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</si>
  <si>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</si>
  <si>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</si>
  <si>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</si>
  <si>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</si>
  <si>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</si>
  <si>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</si>
  <si>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</si>
  <si>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</si>
  <si>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</si>
  <si>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</si>
  <si>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</si>
  <si>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</si>
  <si>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</si>
  <si>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</si>
  <si>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</si>
  <si>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</si>
  <si>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</si>
  <si>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</si>
  <si>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</si>
  <si>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</si>
  <si>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</si>
  <si>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</si>
  <si>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</si>
  <si>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</si>
  <si>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</si>
  <si>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</si>
  <si>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</si>
  <si>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</si>
  <si>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</si>
  <si>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</si>
  <si>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</si>
  <si>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</si>
  <si>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</si>
  <si>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</si>
  <si>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</si>
  <si>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</si>
  <si>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</si>
  <si>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</si>
  <si>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</si>
  <si>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</si>
  <si>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</si>
  <si>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</si>
  <si>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</si>
  <si>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</si>
  <si>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</si>
  <si>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</si>
  <si>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</si>
  <si>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</si>
  <si>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</si>
  <si>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</si>
  <si>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</si>
  <si>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</si>
  <si>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</si>
  <si>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</si>
  <si>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</si>
  <si>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</si>
  <si>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</si>
  <si>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</si>
  <si>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</si>
  <si>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</si>
  <si>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</si>
  <si>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</si>
  <si>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</si>
  <si>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</si>
  <si>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</si>
  <si>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</si>
  <si>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</si>
  <si>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</si>
  <si>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</si>
  <si>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</si>
  <si>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</si>
  <si>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</si>
  <si>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</si>
  <si>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</si>
  <si>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</si>
  <si>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</si>
  <si>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</si>
  <si>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</si>
  <si>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</si>
  <si>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</si>
  <si>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</si>
  <si>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</si>
  <si>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</si>
  <si>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</si>
  <si>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</si>
  <si>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</si>
  <si>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</si>
  <si>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</si>
  <si>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</si>
  <si>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</si>
  <si>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</si>
  <si>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</si>
  <si>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</si>
  <si>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</si>
  <si>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</si>
  <si>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</si>
  <si>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</si>
  <si>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</si>
  <si>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</si>
  <si>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</si>
  <si>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</si>
  <si>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</si>
  <si>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</si>
  <si>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</si>
  <si>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</si>
  <si>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</si>
  <si>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</si>
  <si>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</si>
  <si>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</si>
  <si>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</si>
  <si>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</si>
  <si>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</si>
  <si>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</si>
  <si>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</si>
  <si>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</si>
  <si>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</si>
  <si>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</si>
  <si>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</si>
  <si>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</si>
  <si>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</si>
  <si>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</si>
  <si>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</si>
  <si>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</si>
  <si>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</si>
  <si>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</si>
  <si>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</si>
  <si>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</si>
  <si>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</si>
  <si>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</si>
  <si>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</si>
  <si>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</si>
  <si>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</si>
  <si>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</si>
  <si>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</si>
  <si>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</si>
  <si>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</si>
  <si>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</si>
  <si>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</si>
  <si>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</si>
  <si>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</si>
  <si>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</si>
  <si>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</si>
  <si>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</si>
  <si>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</si>
  <si>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</si>
  <si>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</si>
  <si>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</si>
  <si>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</si>
  <si>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</si>
  <si>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</si>
  <si>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</si>
  <si>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</si>
  <si>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</si>
  <si>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</si>
  <si>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</si>
  <si>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</si>
  <si>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</si>
  <si>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</si>
  <si>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</si>
  <si>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</si>
  <si>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</si>
  <si>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</si>
  <si>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</si>
  <si>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</si>
  <si>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</si>
  <si>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</si>
  <si>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</si>
  <si>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</si>
  <si>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</si>
  <si>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</si>
  <si>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</si>
  <si>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</si>
  <si>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</si>
  <si>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</si>
  <si>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</si>
  <si>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</si>
  <si>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</si>
  <si>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</si>
  <si>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</si>
  <si>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</si>
  <si>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</si>
  <si>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</si>
  <si>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</si>
  <si>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</si>
  <si>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</si>
  <si>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</si>
  <si>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</si>
  <si>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</si>
  <si>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</si>
  <si>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</si>
  <si>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</si>
  <si>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</si>
  <si>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</si>
  <si>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</si>
  <si>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</si>
  <si>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</si>
  <si>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</si>
  <si>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</si>
  <si>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</si>
  <si>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</si>
  <si>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</si>
  <si>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</si>
  <si>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</si>
  <si>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</si>
  <si>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</si>
  <si>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</si>
  <si>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</si>
  <si>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</si>
  <si>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</si>
  <si>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</si>
  <si>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</si>
  <si>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</si>
  <si>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</si>
  <si>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</si>
  <si>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</si>
  <si>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</si>
  <si>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</si>
  <si>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</si>
  <si>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</si>
  <si>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</si>
  <si>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</si>
  <si>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</si>
  <si>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</si>
  <si>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</si>
  <si>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</si>
  <si>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</si>
  <si>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</si>
  <si>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</si>
  <si>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</si>
  <si>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</si>
  <si>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</si>
  <si>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</si>
  <si>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</si>
  <si>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</si>
  <si>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</si>
  <si>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</si>
  <si>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</si>
  <si>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</si>
  <si>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</si>
  <si>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</si>
  <si>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</si>
  <si>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</si>
  <si>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</si>
  <si>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</si>
  <si>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</si>
  <si>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</si>
  <si>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</si>
  <si>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</si>
  <si>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</si>
  <si>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</si>
  <si>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</si>
  <si>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</si>
  <si>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</si>
  <si>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</si>
  <si>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</si>
  <si>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</si>
  <si>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</si>
  <si>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</si>
  <si>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</si>
  <si>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</si>
  <si>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</si>
  <si>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</si>
  <si>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</si>
  <si>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</si>
  <si>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</si>
  <si>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</si>
  <si>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</si>
  <si>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</si>
  <si>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</si>
  <si>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</si>
  <si>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</si>
  <si>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</si>
  <si>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</si>
  <si>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</si>
  <si>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</si>
  <si>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</si>
  <si>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</si>
  <si>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</si>
  <si>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</si>
  <si>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</si>
  <si>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</si>
  <si>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</si>
  <si>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</si>
  <si>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</si>
  <si>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</si>
  <si>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</si>
  <si>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</si>
  <si>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</si>
  <si>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</si>
  <si>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</si>
  <si>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</si>
  <si>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</si>
  <si>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</si>
  <si>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</si>
  <si>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</si>
  <si>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</si>
  <si>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</si>
  <si>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</si>
  <si>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</si>
  <si>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</si>
  <si>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</si>
  <si>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</si>
  <si>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</si>
  <si>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</si>
  <si>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</si>
  <si>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</si>
  <si>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</si>
  <si>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</si>
  <si>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</si>
  <si>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</si>
  <si>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</si>
  <si>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</si>
  <si>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</si>
  <si>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</si>
  <si>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</si>
  <si>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</si>
  <si>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</si>
  <si>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</si>
  <si>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</si>
  <si>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</si>
  <si>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</si>
  <si>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</si>
  <si>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</si>
  <si>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</si>
  <si>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</si>
  <si>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</si>
  <si>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</si>
  <si>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</si>
  <si>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</si>
  <si>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</si>
  <si>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</si>
  <si>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</si>
  <si>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</si>
  <si>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</si>
  <si>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</si>
  <si>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</si>
  <si>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</si>
  <si>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</si>
  <si>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</si>
  <si>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</si>
  <si>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</si>
  <si>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</si>
  <si>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</si>
  <si>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</si>
  <si>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</si>
  <si>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</si>
  <si>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</si>
  <si>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</si>
  <si>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</si>
  <si>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</si>
  <si>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</si>
  <si>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</si>
  <si>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</si>
  <si>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</si>
  <si>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</si>
  <si>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</si>
  <si>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</si>
  <si>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</si>
  <si>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</si>
  <si>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</si>
  <si>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</si>
  <si>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</si>
  <si>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</si>
  <si>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</si>
  <si>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</si>
  <si>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</si>
  <si>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</si>
  <si>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</si>
  <si>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</si>
  <si>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</si>
  <si>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</si>
  <si>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</si>
  <si>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</si>
  <si>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</si>
  <si>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</si>
  <si>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</si>
  <si>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</si>
  <si>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</si>
  <si>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</si>
  <si>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</si>
  <si>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</si>
  <si>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</si>
  <si>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</si>
  <si>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</si>
  <si>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</si>
  <si>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</si>
  <si>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</si>
  <si>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</si>
  <si>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</si>
  <si>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</si>
  <si>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</si>
  <si>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</si>
  <si>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</si>
  <si>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</si>
  <si>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</si>
  <si>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</si>
  <si>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</si>
  <si>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</si>
  <si>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</si>
  <si>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</si>
  <si>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</si>
  <si>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</si>
  <si>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</si>
  <si>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</si>
  <si>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</si>
  <si>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</si>
  <si>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</si>
  <si>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</si>
  <si>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</si>
  <si>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</si>
  <si>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</si>
  <si>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</si>
  <si>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</si>
  <si>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</si>
  <si>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</si>
  <si>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</si>
  <si>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</si>
  <si>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</si>
  <si>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</si>
  <si>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</si>
  <si>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</si>
  <si>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</si>
  <si>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</si>
  <si>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</si>
  <si>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</si>
  <si>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</si>
  <si>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</si>
  <si>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</si>
  <si>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</si>
  <si>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</si>
  <si>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</si>
  <si>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</si>
  <si>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</si>
  <si>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</si>
  <si>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</si>
  <si>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</si>
  <si>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</si>
  <si>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</si>
  <si>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</si>
  <si>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</si>
  <si>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</si>
  <si>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</si>
  <si>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</si>
  <si>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</si>
  <si>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</si>
  <si>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</si>
  <si>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</si>
  <si>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</si>
  <si>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</si>
  <si>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</si>
  <si>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</si>
  <si>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</si>
  <si>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</si>
  <si>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</si>
  <si>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</si>
  <si>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</si>
  <si>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</si>
  <si>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</si>
  <si>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</si>
  <si>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</si>
  <si>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</si>
  <si>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</si>
  <si>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</si>
  <si>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</si>
  <si>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</si>
  <si>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</si>
  <si>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</si>
  <si>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</si>
  <si>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</si>
  <si>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</si>
  <si>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</si>
  <si>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</si>
  <si>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</si>
  <si>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</si>
  <si>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</si>
  <si>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</si>
  <si>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</si>
  <si>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</si>
  <si>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</si>
  <si>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</si>
  <si>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</si>
  <si>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</si>
  <si>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</si>
  <si>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</si>
  <si>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</si>
  <si>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</si>
  <si>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</si>
  <si>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</si>
  <si>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</si>
  <si>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</si>
  <si>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</si>
  <si>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</si>
  <si>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</si>
  <si>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</si>
  <si>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</si>
  <si>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</si>
  <si>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</si>
  <si>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</si>
  <si>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</si>
  <si>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</si>
  <si>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</si>
  <si>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</si>
  <si>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</si>
  <si>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</si>
  <si>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</si>
  <si>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</si>
  <si>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</si>
  <si>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</si>
  <si>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</si>
  <si>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</si>
  <si>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</si>
  <si>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</si>
  <si>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</si>
  <si>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</si>
  <si>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</si>
  <si>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</si>
  <si>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</si>
  <si>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</si>
  <si>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</si>
  <si>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</si>
  <si>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</si>
  <si>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</si>
  <si>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</si>
  <si>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</si>
  <si>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</si>
  <si>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</si>
  <si>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</si>
  <si>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</si>
  <si>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</si>
  <si>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</si>
  <si>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</si>
  <si>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</si>
  <si>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</si>
  <si>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</si>
  <si>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</si>
  <si>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</si>
  <si>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</si>
  <si>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</si>
  <si>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</si>
  <si>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</si>
  <si>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</si>
  <si>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</si>
  <si>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</si>
  <si>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</si>
  <si>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</si>
  <si>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</si>
  <si>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</si>
  <si>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</si>
  <si>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</si>
  <si>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</si>
  <si>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</si>
  <si>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</si>
  <si>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</si>
  <si>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</si>
  <si>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</si>
  <si>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</si>
  <si>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</si>
  <si>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</si>
  <si>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</si>
  <si>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</si>
  <si>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</si>
  <si>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</si>
  <si>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</si>
  <si>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</si>
  <si>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</si>
  <si>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</si>
  <si>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</si>
  <si>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</si>
  <si>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</si>
  <si>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</si>
  <si>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</si>
  <si>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</si>
  <si>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</si>
  <si>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</si>
  <si>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</si>
  <si>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</si>
  <si>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</si>
  <si>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</si>
  <si>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</si>
  <si>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</si>
  <si>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</si>
  <si>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</si>
  <si>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</si>
  <si>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</si>
  <si>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</si>
  <si>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</si>
  <si>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</si>
  <si>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</si>
  <si>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</si>
  <si>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</si>
  <si>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</si>
  <si>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</si>
  <si>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</si>
  <si>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</si>
  <si>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</si>
  <si>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</si>
  <si>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</si>
  <si>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</si>
  <si>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</si>
  <si>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</si>
  <si>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</si>
  <si>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</si>
  <si>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</si>
  <si>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</si>
  <si>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</si>
  <si>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</si>
  <si>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</si>
  <si>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</si>
  <si>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</si>
  <si>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</si>
  <si>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</si>
  <si>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</si>
  <si>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</si>
  <si>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</si>
  <si>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</si>
  <si>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</si>
  <si>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</si>
  <si>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</si>
  <si>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</si>
  <si>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</si>
  <si>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</si>
  <si>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</si>
  <si>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</si>
  <si>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</si>
  <si>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</si>
  <si>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</si>
  <si>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</si>
  <si>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</si>
  <si>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</si>
  <si>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</si>
  <si>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</si>
  <si>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</si>
  <si>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</si>
  <si>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</si>
  <si>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</si>
  <si>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</si>
  <si>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</si>
  <si>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</si>
  <si>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</si>
  <si>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</si>
  <si>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</si>
  <si>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</si>
  <si>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</si>
  <si>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</si>
  <si>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</si>
  <si>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</si>
  <si>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</si>
  <si>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</si>
  <si>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</si>
  <si>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</si>
  <si>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</si>
  <si>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</si>
  <si>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</si>
  <si>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</si>
  <si>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</si>
  <si>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</si>
  <si>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</si>
  <si>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</si>
  <si>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</si>
  <si>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</si>
  <si>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</si>
  <si>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</si>
  <si>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</si>
  <si>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</si>
  <si>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</si>
  <si>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</si>
  <si>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</si>
  <si>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</si>
  <si>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</si>
  <si>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</si>
  <si>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</si>
  <si>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</si>
  <si>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</si>
  <si>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</si>
  <si>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</si>
  <si>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</si>
  <si>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</si>
  <si>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</si>
  <si>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</si>
  <si>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</si>
  <si>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</si>
  <si>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</si>
  <si>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</si>
  <si>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</si>
  <si>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</si>
  <si>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</si>
  <si>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</si>
  <si>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</si>
  <si>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</si>
  <si>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</si>
  <si>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</si>
  <si>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</si>
  <si>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</si>
  <si>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</si>
  <si>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</si>
  <si>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</si>
  <si>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</si>
  <si>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</si>
  <si>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</si>
  <si>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</si>
  <si>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</si>
  <si>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</si>
  <si>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</si>
  <si>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</si>
  <si>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</si>
  <si>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</si>
  <si>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</si>
  <si>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</si>
  <si>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</si>
  <si>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</si>
  <si>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</si>
  <si>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</si>
  <si>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</si>
  <si>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</si>
  <si>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</si>
  <si>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</si>
  <si>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</si>
  <si>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</si>
  <si>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</si>
  <si>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</si>
  <si>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</si>
  <si>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</si>
  <si>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</si>
  <si>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</si>
  <si>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</si>
  <si>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</si>
  <si>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</si>
  <si>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</si>
  <si>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</si>
  <si>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</si>
  <si>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</si>
  <si>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</si>
  <si>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</si>
  <si>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</si>
  <si>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</si>
  <si>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</si>
  <si>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</si>
  <si>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</si>
  <si>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</si>
  <si>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</si>
  <si>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</si>
  <si>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</si>
  <si>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</si>
  <si>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</si>
  <si>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</si>
  <si>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</si>
  <si>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</si>
  <si>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</si>
  <si>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</si>
  <si>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</si>
  <si>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</si>
  <si>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</si>
  <si>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</si>
  <si>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</si>
  <si>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</si>
  <si>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</si>
  <si>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</si>
  <si>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</si>
  <si>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</si>
  <si>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</si>
  <si>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</si>
  <si>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</si>
  <si>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</si>
  <si>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</si>
  <si>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</si>
  <si>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</si>
  <si>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</si>
  <si>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</si>
  <si>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</si>
  <si>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</si>
  <si>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</si>
  <si>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</si>
  <si>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</si>
  <si>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</si>
  <si>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</si>
  <si>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</si>
  <si>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</si>
  <si>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</si>
  <si>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</si>
  <si>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</si>
  <si>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</si>
  <si>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</si>
  <si>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</si>
  <si>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</si>
  <si>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</si>
  <si>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</si>
  <si>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</si>
  <si>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</si>
  <si>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</si>
  <si>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</si>
  <si>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</si>
  <si>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</si>
  <si>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</si>
  <si>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</si>
  <si>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</si>
  <si>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</si>
  <si>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</si>
  <si>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</si>
  <si>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</si>
  <si>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</si>
  <si>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</si>
  <si>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</si>
  <si>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</si>
  <si>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</si>
  <si>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</si>
  <si>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</si>
  <si>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</si>
  <si>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</si>
  <si>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</si>
  <si>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</si>
  <si>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</si>
  <si>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</si>
  <si>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</si>
  <si>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</si>
  <si>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</si>
  <si>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</si>
  <si>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</si>
  <si>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</si>
  <si>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</si>
  <si>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</si>
  <si>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</si>
  <si>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</si>
  <si>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</si>
  <si>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</si>
  <si>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</si>
  <si>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</si>
  <si>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</si>
  <si>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</si>
  <si>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</si>
  <si>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</si>
  <si>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</si>
  <si>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</si>
  <si>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</si>
  <si>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</si>
  <si>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</si>
  <si>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</si>
  <si>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</si>
  <si>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</si>
  <si>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</si>
  <si>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</si>
  <si>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</si>
  <si>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</si>
  <si>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</si>
  <si>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</si>
  <si>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</si>
  <si>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</si>
  <si>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</si>
  <si>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</si>
  <si>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</si>
  <si>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</si>
  <si>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</si>
  <si>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</si>
  <si>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</si>
  <si>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</si>
  <si>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</si>
  <si>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</si>
  <si>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</si>
  <si>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</si>
  <si>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</si>
  <si>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</si>
  <si>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</si>
  <si>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</si>
  <si>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</si>
  <si>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</si>
  <si>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</si>
  <si>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</si>
  <si>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</si>
  <si>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</si>
  <si>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</si>
  <si>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</si>
  <si>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</si>
  <si>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</si>
  <si>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</si>
  <si>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</si>
  <si>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</si>
  <si>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</si>
  <si>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</si>
  <si>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</si>
  <si>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</si>
  <si>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</si>
  <si>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</si>
  <si>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</si>
  <si>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</si>
  <si>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</si>
  <si>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</si>
  <si>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</si>
  <si>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</si>
  <si>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</si>
  <si>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</si>
  <si>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</si>
  <si>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</si>
  <si>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</si>
  <si>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</si>
  <si>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</si>
  <si>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</si>
  <si>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</si>
  <si>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</si>
  <si>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</si>
  <si>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</si>
  <si>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</si>
  <si>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</si>
  <si>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</si>
  <si>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</si>
  <si>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</si>
  <si>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</si>
  <si>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</si>
  <si>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</si>
  <si>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</si>
  <si>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</si>
  <si>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</si>
  <si>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</si>
  <si>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</si>
  <si>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</si>
  <si>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</si>
  <si>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</si>
  <si>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</si>
  <si>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</si>
  <si>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</si>
  <si>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</si>
  <si>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</si>
  <si>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</si>
  <si>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</si>
  <si>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</si>
  <si>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</si>
  <si>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</si>
  <si>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</si>
  <si>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</si>
  <si>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</si>
  <si>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</si>
  <si>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</si>
  <si>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</si>
  <si>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</si>
  <si>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</si>
  <si>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</si>
  <si>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</si>
  <si>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</si>
  <si>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</si>
  <si>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</si>
  <si>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</si>
  <si>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</si>
  <si>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</si>
  <si>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</si>
  <si>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</si>
  <si>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</si>
  <si>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</si>
  <si>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</si>
  <si>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</si>
  <si>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</si>
  <si>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</si>
  <si>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</si>
  <si>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</si>
  <si>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</si>
  <si>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</si>
  <si>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</si>
  <si>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</si>
  <si>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</si>
  <si>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</si>
  <si>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</si>
  <si>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</si>
  <si>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</si>
  <si>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</si>
  <si>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</si>
  <si>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</si>
  <si>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</si>
  <si>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</si>
  <si>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</si>
  <si>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</si>
  <si>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</si>
  <si>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</si>
  <si>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</si>
  <si>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</si>
  <si>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</si>
  <si>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</si>
  <si>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</si>
  <si>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</si>
  <si>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</si>
  <si>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</si>
  <si>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</si>
  <si>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</si>
  <si>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</si>
  <si>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</si>
  <si>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</si>
  <si>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</si>
  <si>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</si>
  <si>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</si>
  <si>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</si>
  <si>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</si>
  <si>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</si>
  <si>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</si>
  <si>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</si>
  <si>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</si>
  <si>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</si>
  <si>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</si>
  <si>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</si>
  <si>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</si>
  <si>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</si>
  <si>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</si>
  <si>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</si>
  <si>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</si>
  <si>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</si>
  <si>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</si>
  <si>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</si>
  <si>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</si>
  <si>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</si>
  <si>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</si>
  <si>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Count: </t>
  </si>
  <si>
    <t>Mean:</t>
  </si>
  <si>
    <t>Median:</t>
  </si>
  <si>
    <t>Row Labels</t>
  </si>
  <si>
    <t>Grand Total</t>
  </si>
  <si>
    <t>Sum of TotalPrice</t>
  </si>
  <si>
    <t>Trends</t>
  </si>
  <si>
    <t>Outliers</t>
  </si>
  <si>
    <t>Key Observations Summary</t>
  </si>
  <si>
    <r>
      <t>Even Distribution Across Categories:</t>
    </r>
    <r>
      <rPr>
        <sz val="11"/>
        <color theme="1"/>
        <rFont val="Calibri"/>
        <family val="2"/>
        <scheme val="minor"/>
      </rPr>
      <t xml:space="preserve"> Revenue is fairly well-balanced across all 7 product categories, with every single product generating between $150,000 and $200,000.</t>
    </r>
  </si>
  <si>
    <r>
      <t>Top Performers Cluster: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Chair</t>
    </r>
    <r>
      <rPr>
        <sz val="11"/>
        <color theme="1"/>
        <rFont val="Calibri"/>
        <family val="2"/>
        <scheme val="minor"/>
      </rPr>
      <t xml:space="preserve"> ($195,620.11), </t>
    </r>
    <r>
      <rPr>
        <b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 xml:space="preserve"> ($195,612.61), and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($192,126.56) form a distinct top tier of revenue generators, all hovering around the $190k–$196k mark.</t>
    </r>
  </si>
  <si>
    <r>
      <t>Lowest Revenue Performer: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is a low outlier relative to the dataset, generating the minimum total sales at </t>
    </r>
    <r>
      <rPr>
        <b/>
        <sz val="11"/>
        <color theme="1"/>
        <rFont val="Calibri"/>
        <family val="2"/>
        <scheme val="minor"/>
      </rPr>
      <t>$151,722.39</t>
    </r>
    <r>
      <rPr>
        <sz val="11"/>
        <color theme="1"/>
        <rFont val="Calibri"/>
        <family val="2"/>
        <scheme val="minor"/>
      </rPr>
      <t xml:space="preserve"> (approximately 22.4% less than the top-selling category, Chair).</t>
    </r>
  </si>
  <si>
    <r>
      <t>Virtually Identical Top Pair: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Chair</t>
    </r>
    <r>
      <rPr>
        <sz val="11"/>
        <color theme="1"/>
        <rFont val="Calibri"/>
        <family val="2"/>
        <scheme val="minor"/>
      </rPr>
      <t xml:space="preserve"> ($195,620.11) and </t>
    </r>
    <r>
      <rPr>
        <b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 xml:space="preserve"> ($195,612.61) have an unusually tight total price gap of just </t>
    </r>
    <r>
      <rPr>
        <b/>
        <sz val="11"/>
        <color theme="1"/>
        <rFont val="Calibri"/>
        <family val="2"/>
        <scheme val="minor"/>
      </rPr>
      <t>$7.50</t>
    </r>
    <r>
      <rPr>
        <sz val="11"/>
        <color theme="1"/>
        <rFont val="Calibri"/>
        <family val="2"/>
        <scheme val="minor"/>
      </rPr>
      <t xml:space="preserve"> despite being completely different product categories.</t>
    </r>
  </si>
  <si>
    <r>
      <t>Total Portfolio Revenue: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$1,264,761.96</t>
    </r>
    <r>
      <rPr>
        <sz val="11"/>
        <color theme="1"/>
        <rFont val="Calibri"/>
        <family val="2"/>
        <scheme val="minor"/>
      </rPr>
      <t xml:space="preserve"> across all products.</t>
    </r>
  </si>
  <si>
    <r>
      <t>Average Revenue per Category:</t>
    </r>
    <r>
      <rPr>
        <sz val="11"/>
        <color theme="1"/>
        <rFont val="Calibri"/>
        <family val="2"/>
        <scheme val="minor"/>
      </rPr>
      <t xml:space="preserve"> Approximately </t>
    </r>
    <r>
      <rPr>
        <b/>
        <sz val="11"/>
        <color theme="1"/>
        <rFont val="Calibri"/>
        <family val="2"/>
        <scheme val="minor"/>
      </rPr>
      <t>$180,680.28</t>
    </r>
    <r>
      <rPr>
        <sz val="11"/>
        <color theme="1"/>
        <rFont val="Calibri"/>
        <family val="2"/>
        <scheme val="minor"/>
      </rPr>
      <t xml:space="preserve"> per product.</t>
    </r>
  </si>
  <si>
    <r>
      <t>High Revenue Stability:</t>
    </r>
    <r>
      <rPr>
        <sz val="11"/>
        <color theme="1"/>
        <rFont val="Calibri"/>
        <family val="2"/>
        <scheme val="minor"/>
      </rPr>
      <t xml:space="preserve"> This tight performance band highlights strong consistency across all product lines, with no extreme sales spikes or major revenue drops.</t>
    </r>
  </si>
  <si>
    <r>
      <t xml:space="preserve">Narrow Revenue Gap: </t>
    </r>
    <r>
      <rPr>
        <sz val="11"/>
        <color theme="1"/>
        <rFont val="Calibri"/>
        <family val="2"/>
        <scheme val="minor"/>
      </rPr>
      <t xml:space="preserve">The spread between the highest-performing category (Chair: $195,620.11) and the lowest-performing category (Phone: $151,722.39) is relatively small at </t>
    </r>
    <r>
      <rPr>
        <b/>
        <sz val="11"/>
        <color theme="1"/>
        <rFont val="Calibri"/>
        <family val="2"/>
        <scheme val="minor"/>
      </rPr>
      <t>$43,897.72.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</si>
</sst>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2" fontId="0" fillId="0" borderId="3" xfId="0" applyNumberFormat="1" applyBorder="1"/>
    <xf numFmtId="2" fontId="0" fillId="0" borderId="4" xfId="0" applyNumberFormat="1" applyBorder="1"/>
    <xf numFmtId="0" fontId="0" fillId="2" borderId="5" xfId="0" applyFill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Font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Analytics-Project2.xlsx]Sheet2!PivotTable1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tint val="50000"/>
                  <a:satMod val="300000"/>
                </a:schemeClr>
              </a:gs>
              <a:gs pos="35000">
                <a:schemeClr val="accent3">
                  <a:tint val="37000"/>
                  <a:satMod val="300000"/>
                </a:schemeClr>
              </a:gs>
              <a:gs pos="100000">
                <a:schemeClr val="accent3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6-4A81-8482-DCE9E7E7D2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3710399"/>
        <c:axId val="2043718559"/>
      </c:barChart>
      <c:catAx>
        <c:axId val="204371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43718559"/>
        <c:crosses val="autoZero"/>
        <c:auto val="1"/>
        <c:lblAlgn val="ctr"/>
        <c:lblOffset val="100"/>
        <c:noMultiLvlLbl val="0"/>
      </c:catAx>
      <c:valAx>
        <c:axId val="20437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4371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9525</xdr:rowOff>
    </xdr:from>
    <xdr:to>
      <xdr:col>10</xdr:col>
      <xdr:colOff>603250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90E84-918D-1CBC-776C-442B50063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" refreshedDate="46175.532732523148" createdVersion="8" refreshedVersion="8" minRefreshableVersion="3" recordCount="1200" xr:uid="{65F7DA85-3E03-49E1-8C0E-F2E7EA358F21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30659-D788-4D0E-9018-398CD6C47B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2"/>
  </dataFields>
  <formats count="11">
    <format dxfId="11">
      <pivotArea field="3" type="button" dataOnly="0" labelOnly="1" outline="0" axis="axisRow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1935-4241-4220-AC8A-F655264E4FAB}">
  <dimension ref="A3:AC33"/>
  <sheetViews>
    <sheetView tabSelected="1" zoomScale="89" zoomScaleNormal="89" workbookViewId="0">
      <selection activeCell="F38" sqref="F38"/>
    </sheetView>
  </sheetViews>
  <sheetFormatPr defaultRowHeight="14.4" x14ac:dyDescent="0.3"/>
  <cols>
    <col min="1" max="1" width="12.33203125" bestFit="1" customWidth="1"/>
    <col min="2" max="2" width="15.5546875" bestFit="1" customWidth="1"/>
  </cols>
  <sheetData>
    <row r="3" spans="1:2" x14ac:dyDescent="0.3">
      <c r="A3" s="12" t="s">
        <v>4287</v>
      </c>
      <c r="B3" s="9" t="s">
        <v>4289</v>
      </c>
    </row>
    <row r="4" spans="1:2" x14ac:dyDescent="0.3">
      <c r="A4" s="13" t="s">
        <v>2406</v>
      </c>
      <c r="B4" s="10">
        <v>195620.11000000002</v>
      </c>
    </row>
    <row r="5" spans="1:2" x14ac:dyDescent="0.3">
      <c r="A5" s="13" t="s">
        <v>2409</v>
      </c>
      <c r="B5" s="10">
        <v>167459.93</v>
      </c>
    </row>
    <row r="6" spans="1:2" x14ac:dyDescent="0.3">
      <c r="A6" s="13" t="s">
        <v>2408</v>
      </c>
      <c r="B6" s="10">
        <v>192126.55999999994</v>
      </c>
    </row>
    <row r="7" spans="1:2" x14ac:dyDescent="0.3">
      <c r="A7" s="13" t="s">
        <v>2403</v>
      </c>
      <c r="B7" s="10">
        <v>175651.40999999997</v>
      </c>
    </row>
    <row r="8" spans="1:2" x14ac:dyDescent="0.3">
      <c r="A8" s="13" t="s">
        <v>2404</v>
      </c>
      <c r="B8" s="10">
        <v>151722.39000000001</v>
      </c>
    </row>
    <row r="9" spans="1:2" x14ac:dyDescent="0.3">
      <c r="A9" s="13" t="s">
        <v>2407</v>
      </c>
      <c r="B9" s="10">
        <v>195612.60999999996</v>
      </c>
    </row>
    <row r="10" spans="1:2" x14ac:dyDescent="0.3">
      <c r="A10" s="13" t="s">
        <v>2405</v>
      </c>
      <c r="B10" s="10">
        <v>186568.95000000007</v>
      </c>
    </row>
    <row r="11" spans="1:2" x14ac:dyDescent="0.3">
      <c r="A11" s="14" t="s">
        <v>4288</v>
      </c>
      <c r="B11" s="11">
        <v>1264761.96</v>
      </c>
    </row>
    <row r="20" spans="1:29" x14ac:dyDescent="0.3">
      <c r="A20" s="15" t="s">
        <v>4290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x14ac:dyDescent="0.3">
      <c r="A21" s="16" t="s">
        <v>4293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x14ac:dyDescent="0.3">
      <c r="A22" s="15" t="s">
        <v>4294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x14ac:dyDescent="0.3">
      <c r="A24" s="15" t="s">
        <v>4291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x14ac:dyDescent="0.3">
      <c r="A25" s="15" t="s">
        <v>4295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x14ac:dyDescent="0.3">
      <c r="A26" s="15" t="s">
        <v>4296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x14ac:dyDescent="0.3">
      <c r="A28" s="15" t="s">
        <v>4292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x14ac:dyDescent="0.3">
      <c r="A29" s="15" t="s">
        <v>4297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x14ac:dyDescent="0.3">
      <c r="A30" s="15" t="s">
        <v>4298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x14ac:dyDescent="0.3">
      <c r="A31" s="15" t="s">
        <v>4300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x14ac:dyDescent="0.3">
      <c r="A32" s="16" t="s">
        <v>4299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opLeftCell="H1" zoomScale="78" workbookViewId="0">
      <selection activeCell="Q5" sqref="Q5"/>
    </sheetView>
  </sheetViews>
  <sheetFormatPr defaultRowHeight="14.4" x14ac:dyDescent="0.3"/>
  <cols>
    <col min="1" max="1" width="13.109375" customWidth="1"/>
    <col min="2" max="2" width="14" style="1" customWidth="1"/>
    <col min="3" max="3" width="10.88671875" bestFit="1" customWidth="1"/>
    <col min="4" max="4" width="10.77734375" customWidth="1"/>
    <col min="6" max="6" width="9.44140625" style="2" customWidth="1"/>
    <col min="7" max="7" width="16.77734375" customWidth="1"/>
    <col min="8" max="8" width="15.21875" bestFit="1" customWidth="1"/>
    <col min="9" max="9" width="12.21875" customWidth="1"/>
    <col min="10" max="10" width="16.5546875" customWidth="1"/>
    <col min="11" max="11" width="10.77734375" bestFit="1" customWidth="1"/>
    <col min="12" max="12" width="13.33203125" customWidth="1"/>
    <col min="13" max="13" width="12.5546875" customWidth="1"/>
    <col min="14" max="14" width="12.21875" style="2" customWidth="1"/>
    <col min="16" max="16" width="11.21875" bestFit="1" customWidth="1"/>
    <col min="17" max="17" width="12.44140625" customWidth="1"/>
  </cols>
  <sheetData>
    <row r="1" spans="1:17" ht="23.55" customHeight="1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</row>
    <row r="2" spans="1:17" x14ac:dyDescent="0.3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5">
        <v>2853.1</v>
      </c>
    </row>
    <row r="3" spans="1:17" x14ac:dyDescent="0.3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5">
        <v>302.7</v>
      </c>
    </row>
    <row r="4" spans="1:17" x14ac:dyDescent="0.3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5">
        <v>2753.4</v>
      </c>
      <c r="P4" t="s">
        <v>4284</v>
      </c>
      <c r="Q4">
        <f>COUNT(E2:E1201)</f>
        <v>1200</v>
      </c>
    </row>
    <row r="5" spans="1:17" x14ac:dyDescent="0.3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5">
        <v>273.19</v>
      </c>
      <c r="P5" t="s">
        <v>4285</v>
      </c>
      <c r="Q5" s="2">
        <f>AVERAGE(F2:F1201)</f>
        <v>356.41275000000007</v>
      </c>
    </row>
    <row r="6" spans="1:17" x14ac:dyDescent="0.3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5">
        <v>2504.04</v>
      </c>
      <c r="P6" t="s">
        <v>4286</v>
      </c>
      <c r="Q6" s="2">
        <f>MEDIAN(F2:F1201)</f>
        <v>364.21</v>
      </c>
    </row>
    <row r="7" spans="1:17" x14ac:dyDescent="0.3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5">
        <v>491.72</v>
      </c>
      <c r="P7" s="2"/>
    </row>
    <row r="8" spans="1:17" x14ac:dyDescent="0.3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5">
        <v>664.42</v>
      </c>
    </row>
    <row r="9" spans="1:17" x14ac:dyDescent="0.3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5">
        <v>747.75</v>
      </c>
    </row>
    <row r="10" spans="1:17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5">
        <v>268.56</v>
      </c>
    </row>
    <row r="11" spans="1:17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5">
        <v>2037.52</v>
      </c>
    </row>
    <row r="12" spans="1:17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5">
        <v>3129.85</v>
      </c>
    </row>
    <row r="13" spans="1:17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5">
        <v>147.41999999999999</v>
      </c>
    </row>
    <row r="14" spans="1:17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5">
        <v>361</v>
      </c>
    </row>
    <row r="15" spans="1:17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5">
        <v>604.47</v>
      </c>
    </row>
    <row r="16" spans="1:17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5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5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5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5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5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5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5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5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5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5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5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5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5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5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5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5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5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5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5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5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5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5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5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5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5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5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5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5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5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5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5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5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5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5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5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5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5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5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5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5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5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5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5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5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5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5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5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5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5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5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5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5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5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5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5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5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5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5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5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5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5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5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5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5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5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5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5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5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5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5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5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5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5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5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5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5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5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5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5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5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5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5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5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5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5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5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5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5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5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5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5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5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5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5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5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5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5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5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5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5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5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5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5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5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5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5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5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5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5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5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5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5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5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5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5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5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5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5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5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5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5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5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5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5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5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5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5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5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5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5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5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5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5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5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5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5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5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5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5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5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5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5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5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5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5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5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5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5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5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5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5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5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5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5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5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5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5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5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5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5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5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5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5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5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5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5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5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5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5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5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5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5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5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5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5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5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5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5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5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5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5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5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5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5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5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5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5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5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5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5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5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5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5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5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5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5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5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5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5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5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5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5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5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5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5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5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5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5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5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5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5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5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5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5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5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5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5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5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5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5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5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5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5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5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5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5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5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5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5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5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5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5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5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5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5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5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5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5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5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5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5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5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5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5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5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5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5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5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5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5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5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5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5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5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5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5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5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5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5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5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5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5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5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5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5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5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5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5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5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5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5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5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5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5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5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5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5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5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5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5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5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5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5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5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5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5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5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5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5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5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5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5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5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5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5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5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5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5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5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5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5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5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5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5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5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5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5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5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5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5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5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5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5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5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5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5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5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5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5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5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5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5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5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5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5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5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5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5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5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5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5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5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5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5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5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5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5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5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5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5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5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5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5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5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5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5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5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5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5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5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5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5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5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5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5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5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5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5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5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5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5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5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5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5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5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5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5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5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5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5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5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5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5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5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5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5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5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5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5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5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5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5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5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5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5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5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5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5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5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5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5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5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5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5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5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5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5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5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5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5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5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5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5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5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5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5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5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5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5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5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5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5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5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5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5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5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5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5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5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5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5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5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5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5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5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5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5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5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5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5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5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5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5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5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5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5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5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5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5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5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5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5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5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5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5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5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5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5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5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5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5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5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5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5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5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5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5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5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5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5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5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5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5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5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5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5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5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5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5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5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5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5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5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5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5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5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5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5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5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5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5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5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5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5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5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5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5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5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5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5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5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5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5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5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5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5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5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5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5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5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5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5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5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5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5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5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5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5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5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5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5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5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5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5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5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5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5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5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5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5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5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5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5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5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5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5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5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5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5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5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5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5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5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5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5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5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5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5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5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5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5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5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5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5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5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5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5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5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5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5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5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5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5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5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5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5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5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5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5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5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5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5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5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5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5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5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5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5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5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5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5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5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5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5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5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5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5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5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5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5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5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5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5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5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5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5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5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5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5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5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5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5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5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5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5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5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5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5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5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5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5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5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5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5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5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5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5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5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5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5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5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5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5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5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5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5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5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5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5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5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5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5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5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5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5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5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5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5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5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5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5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5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5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5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5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5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5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5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5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5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5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5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5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5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5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5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5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5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5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5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5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5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5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5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5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5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5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5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5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5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5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5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5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5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5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5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5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5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5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5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5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5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5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5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5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5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5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5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5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5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5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5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5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5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5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5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5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5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5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5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5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5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5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5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5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5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5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5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5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5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5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5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5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5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5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5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5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5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5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5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5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5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5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5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5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5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5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5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5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5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5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5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5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5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5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5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5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5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5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5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5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5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5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5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5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5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5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5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5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5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5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5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5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5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5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5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5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5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5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5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5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5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5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5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5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5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5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5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5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5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5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5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5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5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5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5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5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5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5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5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5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5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5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5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5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5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5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5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5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5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5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5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5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5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5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5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5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5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5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5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5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5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5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5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5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5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5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5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5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5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5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5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5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5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5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5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5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5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5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5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5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5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5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5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5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5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5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5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5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5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5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5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5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5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5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5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5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5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5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5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5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5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5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5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5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5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5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5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5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5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5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5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5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5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5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5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5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5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5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5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5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5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5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5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5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5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5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5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5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5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5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5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5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5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5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5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5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5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5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5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5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5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5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5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5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5">
        <v>754.43999999999994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5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5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5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5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5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5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5">
        <v>950.55000000000007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5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5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5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5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5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5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5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5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5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5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5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5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5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5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5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5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5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5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5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5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5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5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5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5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5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5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5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5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5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5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5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5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5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5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5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5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5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5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5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5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5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5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5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5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5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5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5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5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5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5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5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5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5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5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5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5">
        <v>2242.3200000000002</v>
      </c>
    </row>
  </sheetData>
  <conditionalFormatting sqref="N2:N1201">
    <cfRule type="cellIs" dxfId="0" priority="1" operator="greaterThan">
      <formula>3300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</dc:creator>
  <cp:lastModifiedBy>Nisa Aulia Rohmah</cp:lastModifiedBy>
  <dcterms:created xsi:type="dcterms:W3CDTF">2025-06-21T13:19:12Z</dcterms:created>
  <dcterms:modified xsi:type="dcterms:W3CDTF">2026-09-25T02:54:55Z</dcterms:modified>
</cp:coreProperties>
</file>